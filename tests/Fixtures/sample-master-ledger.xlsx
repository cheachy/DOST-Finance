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charm\Downloads\"/>
    </mc:Choice>
  </mc:AlternateContent>
  <xr:revisionPtr revIDLastSave="0" documentId="13_ncr:1_{6C1F91FC-895A-4F20-851E-10DCFB64DFF8}" xr6:coauthVersionLast="47" xr6:coauthVersionMax="47" xr10:uidLastSave="{00000000-0000-0000-0000-000000000000}"/>
  <bookViews>
    <workbookView xWindow="-108" yWindow="-108" windowWidth="23256" windowHeight="13176" xr2:uid="{38FE6B56-0D83-4A00-B519-3AB858839B7F}"/>
  </bookViews>
  <sheets>
    <sheet name="MDS 101" sheetId="1" r:id="rId1"/>
    <sheet name="PS" sheetId="2" r:id="rId2"/>
    <sheet name="MOOE" sheetId="3" r:id="rId3"/>
    <sheet name="GIA" sheetId="4" r:id="rId4"/>
  </sheets>
  <externalReferences>
    <externalReference r:id="rId5"/>
  </externalReferences>
  <calcPr calcId="191029" calcOnSave="0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Y46" i="4" l="1"/>
  <c r="Y44" i="4"/>
  <c r="Y42" i="4"/>
  <c r="Y36" i="4"/>
  <c r="Y35" i="4"/>
  <c r="Y32" i="4"/>
  <c r="Y30" i="4"/>
  <c r="Y29" i="4"/>
  <c r="X28" i="4"/>
  <c r="X22" i="4"/>
  <c r="W22" i="4"/>
  <c r="V22" i="4"/>
  <c r="U22" i="4"/>
  <c r="T22" i="4"/>
  <c r="W28" i="4" s="1"/>
  <c r="N22" i="4"/>
  <c r="Z20" i="4"/>
  <c r="Y20" i="4"/>
  <c r="X20" i="4"/>
  <c r="X21" i="4" s="1"/>
  <c r="W20" i="4"/>
  <c r="W21" i="4" s="1"/>
  <c r="V20" i="4"/>
  <c r="V21" i="4" s="1"/>
  <c r="U20" i="4"/>
  <c r="U21" i="4" s="1"/>
  <c r="T20" i="4"/>
  <c r="T21" i="4" s="1"/>
  <c r="S20" i="4"/>
  <c r="R20" i="4"/>
  <c r="Q20" i="4"/>
  <c r="P20" i="4"/>
  <c r="O20" i="4"/>
  <c r="N20" i="4"/>
  <c r="N21" i="4" s="1"/>
  <c r="M20" i="4"/>
  <c r="L20" i="4"/>
  <c r="K20" i="4"/>
  <c r="J20" i="4"/>
  <c r="I20" i="4"/>
  <c r="H20" i="4"/>
  <c r="E20" i="4"/>
  <c r="E21" i="4" s="1"/>
  <c r="AF13" i="4"/>
  <c r="AF14" i="4" s="1"/>
  <c r="AF15" i="4" s="1"/>
  <c r="AF16" i="4" s="1"/>
  <c r="AF17" i="4" s="1"/>
  <c r="AF18" i="4" s="1"/>
  <c r="AF19" i="4" s="1"/>
  <c r="AF20" i="4" s="1"/>
  <c r="AF21" i="4" s="1"/>
  <c r="AF22" i="4" s="1"/>
  <c r="AF23" i="4" s="1"/>
  <c r="AF24" i="4" s="1"/>
  <c r="AF25" i="4" s="1"/>
  <c r="AF26" i="4" s="1"/>
  <c r="AF27" i="4" s="1"/>
  <c r="AF28" i="4" s="1"/>
  <c r="AF29" i="4" s="1"/>
  <c r="AF30" i="4" s="1"/>
  <c r="AF31" i="4" s="1"/>
  <c r="AF32" i="4" s="1"/>
  <c r="AF33" i="4" s="1"/>
  <c r="AF34" i="4" s="1"/>
  <c r="AF35" i="4" s="1"/>
  <c r="AF36" i="4" s="1"/>
  <c r="AF37" i="4" s="1"/>
  <c r="AF38" i="4" s="1"/>
  <c r="AF39" i="4" s="1"/>
  <c r="AF40" i="4" s="1"/>
  <c r="AF41" i="4" s="1"/>
  <c r="AF42" i="4" s="1"/>
  <c r="AF43" i="4" s="1"/>
  <c r="AF44" i="4" s="1"/>
  <c r="AF45" i="4" s="1"/>
  <c r="AF46" i="4" s="1"/>
  <c r="AF47" i="4" s="1"/>
  <c r="AF48" i="4" s="1"/>
  <c r="AF49" i="4" s="1"/>
  <c r="AE11" i="4"/>
  <c r="AO4" i="4"/>
  <c r="AN3" i="4"/>
  <c r="AN2" i="4"/>
  <c r="AN1" i="4"/>
  <c r="V84" i="3"/>
  <c r="V83" i="3"/>
  <c r="W70" i="3"/>
  <c r="T70" i="3"/>
  <c r="V78" i="3" s="1"/>
  <c r="V91" i="3" s="1"/>
  <c r="X91" i="3" s="1"/>
  <c r="Z60" i="3"/>
  <c r="X60" i="3"/>
  <c r="T60" i="3"/>
  <c r="R60" i="3"/>
  <c r="N60" i="3"/>
  <c r="V77" i="3" s="1"/>
  <c r="M60" i="3"/>
  <c r="L60" i="3"/>
  <c r="K60" i="3"/>
  <c r="J60" i="3"/>
  <c r="I60" i="3"/>
  <c r="H60" i="3"/>
  <c r="Z53" i="3"/>
  <c r="Y53" i="3"/>
  <c r="X53" i="3"/>
  <c r="W53" i="3"/>
  <c r="V53" i="3"/>
  <c r="U53" i="3"/>
  <c r="T53" i="3"/>
  <c r="V76" i="3" s="1"/>
  <c r="S53" i="3"/>
  <c r="R53" i="3"/>
  <c r="Q53" i="3"/>
  <c r="P53" i="3"/>
  <c r="O53" i="3"/>
  <c r="N53" i="3"/>
  <c r="M53" i="3"/>
  <c r="L53" i="3"/>
  <c r="K53" i="3"/>
  <c r="J53" i="3"/>
  <c r="I53" i="3"/>
  <c r="H53" i="3"/>
  <c r="E53" i="3"/>
  <c r="E54" i="3" s="1"/>
  <c r="AF13" i="3"/>
  <c r="AF14" i="3" s="1"/>
  <c r="AF15" i="3" s="1"/>
  <c r="AF16" i="3" s="1"/>
  <c r="AF17" i="3" s="1"/>
  <c r="AF18" i="3" s="1"/>
  <c r="AF19" i="3" s="1"/>
  <c r="AF20" i="3" s="1"/>
  <c r="AF21" i="3" s="1"/>
  <c r="AF22" i="3" s="1"/>
  <c r="AF23" i="3" s="1"/>
  <c r="AF24" i="3" s="1"/>
  <c r="AF25" i="3" s="1"/>
  <c r="AF26" i="3" s="1"/>
  <c r="AF27" i="3" s="1"/>
  <c r="AF28" i="3" s="1"/>
  <c r="AF29" i="3" s="1"/>
  <c r="AF30" i="3" s="1"/>
  <c r="AF31" i="3" s="1"/>
  <c r="AF32" i="3" s="1"/>
  <c r="AF33" i="3" s="1"/>
  <c r="AF34" i="3" s="1"/>
  <c r="AF35" i="3" s="1"/>
  <c r="AF36" i="3" s="1"/>
  <c r="AF37" i="3" s="1"/>
  <c r="AF38" i="3" s="1"/>
  <c r="AF39" i="3" s="1"/>
  <c r="AF40" i="3" s="1"/>
  <c r="AF41" i="3" s="1"/>
  <c r="AF42" i="3" s="1"/>
  <c r="AF43" i="3" s="1"/>
  <c r="AF44" i="3" s="1"/>
  <c r="AF45" i="3" s="1"/>
  <c r="AF46" i="3" s="1"/>
  <c r="AF47" i="3" s="1"/>
  <c r="AF48" i="3" s="1"/>
  <c r="AF49" i="3" s="1"/>
  <c r="AF50" i="3" s="1"/>
  <c r="AF51" i="3" s="1"/>
  <c r="AF52" i="3" s="1"/>
  <c r="AF53" i="3" s="1"/>
  <c r="AF54" i="3" s="1"/>
  <c r="AF55" i="3" s="1"/>
  <c r="AF56" i="3" s="1"/>
  <c r="AF57" i="3" s="1"/>
  <c r="AF58" i="3" s="1"/>
  <c r="AF59" i="3" s="1"/>
  <c r="AF60" i="3" s="1"/>
  <c r="AF61" i="3" s="1"/>
  <c r="AF62" i="3" s="1"/>
  <c r="AF63" i="3" s="1"/>
  <c r="AF64" i="3" s="1"/>
  <c r="AF65" i="3" s="1"/>
  <c r="AF66" i="3" s="1"/>
  <c r="AF67" i="3" s="1"/>
  <c r="AF68" i="3" s="1"/>
  <c r="AF69" i="3" s="1"/>
  <c r="AF70" i="3" s="1"/>
  <c r="AF71" i="3" s="1"/>
  <c r="AF72" i="3" s="1"/>
  <c r="AF73" i="3" s="1"/>
  <c r="AF74" i="3" s="1"/>
  <c r="AF75" i="3" s="1"/>
  <c r="AF76" i="3" s="1"/>
  <c r="AF77" i="3" s="1"/>
  <c r="AF78" i="3" s="1"/>
  <c r="AF79" i="3" s="1"/>
  <c r="AF80" i="3" s="1"/>
  <c r="AF81" i="3" s="1"/>
  <c r="AF82" i="3" s="1"/>
  <c r="AF83" i="3" s="1"/>
  <c r="AF84" i="3" s="1"/>
  <c r="AF85" i="3" s="1"/>
  <c r="AF86" i="3" s="1"/>
  <c r="AF87" i="3" s="1"/>
  <c r="AF88" i="3" s="1"/>
  <c r="AF89" i="3" s="1"/>
  <c r="AF90" i="3" s="1"/>
  <c r="AF91" i="3" s="1"/>
  <c r="AF92" i="3" s="1"/>
  <c r="AF93" i="3" s="1"/>
  <c r="AF94" i="3" s="1"/>
  <c r="AF95" i="3" s="1"/>
  <c r="AF96" i="3" s="1"/>
  <c r="AF97" i="3" s="1"/>
  <c r="AE11" i="3"/>
  <c r="AO4" i="3"/>
  <c r="AN3" i="3"/>
  <c r="AN2" i="3"/>
  <c r="AN1" i="3"/>
  <c r="AF47" i="2"/>
  <c r="R47" i="2"/>
  <c r="AF46" i="2"/>
  <c r="R46" i="2"/>
  <c r="AF45" i="2"/>
  <c r="T45" i="2"/>
  <c r="R45" i="2"/>
  <c r="AF44" i="2"/>
  <c r="R44" i="2"/>
  <c r="AF43" i="2"/>
  <c r="R43" i="2"/>
  <c r="AF42" i="2"/>
  <c r="R42" i="2"/>
  <c r="AF41" i="2"/>
  <c r="R41" i="2"/>
  <c r="AF40" i="2"/>
  <c r="R40" i="2"/>
  <c r="AF39" i="2"/>
  <c r="R39" i="2"/>
  <c r="AF38" i="2"/>
  <c r="R38" i="2"/>
  <c r="AF37" i="2"/>
  <c r="R37" i="2"/>
  <c r="AF36" i="2"/>
  <c r="R36" i="2"/>
  <c r="AF35" i="2"/>
  <c r="T35" i="2"/>
  <c r="T43" i="2" s="1"/>
  <c r="R35" i="2"/>
  <c r="AF34" i="2"/>
  <c r="T34" i="2"/>
  <c r="T42" i="2" s="1"/>
  <c r="R34" i="2"/>
  <c r="AF33" i="2"/>
  <c r="R33" i="2"/>
  <c r="AF32" i="2"/>
  <c r="T32" i="2"/>
  <c r="R32" i="2"/>
  <c r="AF31" i="2"/>
  <c r="R31" i="2"/>
  <c r="AF30" i="2"/>
  <c r="N30" i="2"/>
  <c r="R30" i="2" s="1"/>
  <c r="M30" i="2" s="1"/>
  <c r="AF29" i="2"/>
  <c r="N29" i="2"/>
  <c r="R29" i="2" s="1"/>
  <c r="M29" i="2" s="1"/>
  <c r="AF28" i="2"/>
  <c r="N28" i="2"/>
  <c r="R28" i="2" s="1"/>
  <c r="M28" i="2" s="1"/>
  <c r="AR27" i="2"/>
  <c r="AF27" i="2"/>
  <c r="AW26" i="2"/>
  <c r="AV26" i="2"/>
  <c r="AU26" i="2"/>
  <c r="AT26" i="2"/>
  <c r="AS26" i="2"/>
  <c r="AF26" i="2"/>
  <c r="Y26" i="2"/>
  <c r="X26" i="2"/>
  <c r="W26" i="2"/>
  <c r="V26" i="2"/>
  <c r="U26" i="2"/>
  <c r="T26" i="2"/>
  <c r="Q26" i="2"/>
  <c r="P26" i="2"/>
  <c r="O26" i="2"/>
  <c r="L26" i="2"/>
  <c r="K26" i="2"/>
  <c r="J26" i="2"/>
  <c r="I26" i="2"/>
  <c r="H26" i="2"/>
  <c r="N25" i="2"/>
  <c r="AN24" i="2"/>
  <c r="AO24" i="2" s="1"/>
  <c r="N24" i="2"/>
  <c r="AN23" i="2"/>
  <c r="AO23" i="2" s="1"/>
  <c r="N23" i="2"/>
  <c r="AR22" i="2"/>
  <c r="AN22" i="2"/>
  <c r="AO22" i="2" s="1"/>
  <c r="N22" i="2"/>
  <c r="AN21" i="2"/>
  <c r="AO21" i="2" s="1"/>
  <c r="N21" i="2"/>
  <c r="E21" i="2"/>
  <c r="AR21" i="2" s="1"/>
  <c r="AN20" i="2"/>
  <c r="AO20" i="2" s="1"/>
  <c r="Z20" i="2"/>
  <c r="Z26" i="2" s="1"/>
  <c r="N20" i="2"/>
  <c r="E20" i="2"/>
  <c r="AN19" i="2"/>
  <c r="AO19" i="2" s="1"/>
  <c r="N19" i="2"/>
  <c r="AN18" i="2"/>
  <c r="AO18" i="2" s="1"/>
  <c r="N18" i="2"/>
  <c r="AN17" i="2"/>
  <c r="AO17" i="2" s="1"/>
  <c r="AE17" i="2"/>
  <c r="AF17" i="2" s="1"/>
  <c r="R17" i="2"/>
  <c r="M17" i="2" s="1"/>
  <c r="N17" i="2"/>
  <c r="AN16" i="2"/>
  <c r="AO16" i="2" s="1"/>
  <c r="S16" i="2"/>
  <c r="N16" i="2"/>
  <c r="AN15" i="2"/>
  <c r="AO15" i="2" s="1"/>
  <c r="N15" i="2"/>
  <c r="AN14" i="2"/>
  <c r="AO14" i="2" s="1"/>
  <c r="S14" i="2"/>
  <c r="S26" i="2" s="1"/>
  <c r="N14" i="2"/>
  <c r="N13" i="2"/>
  <c r="AE12" i="2"/>
  <c r="AE11" i="2"/>
  <c r="AO4" i="2"/>
  <c r="AN3" i="2"/>
  <c r="AN2" i="2"/>
  <c r="AN1" i="2"/>
  <c r="N159" i="1"/>
  <c r="R159" i="1" s="1"/>
  <c r="M159" i="1" s="1"/>
  <c r="N158" i="1"/>
  <c r="R158" i="1" s="1"/>
  <c r="M158" i="1" s="1"/>
  <c r="N157" i="1"/>
  <c r="R157" i="1" s="1"/>
  <c r="M157" i="1" s="1"/>
  <c r="T156" i="1"/>
  <c r="M156" i="1" s="1"/>
  <c r="N155" i="1"/>
  <c r="R155" i="1" s="1"/>
  <c r="M155" i="1" s="1"/>
  <c r="N154" i="1"/>
  <c r="R154" i="1" s="1"/>
  <c r="M154" i="1" s="1"/>
  <c r="N153" i="1"/>
  <c r="R153" i="1" s="1"/>
  <c r="M153" i="1" s="1"/>
  <c r="N152" i="1"/>
  <c r="R152" i="1" s="1"/>
  <c r="M152" i="1" s="1"/>
  <c r="N151" i="1"/>
  <c r="R151" i="1" s="1"/>
  <c r="M151" i="1" s="1"/>
  <c r="N150" i="1"/>
  <c r="R150" i="1" s="1"/>
  <c r="M150" i="1" s="1"/>
  <c r="N149" i="1"/>
  <c r="R149" i="1" s="1"/>
  <c r="M149" i="1" s="1"/>
  <c r="N148" i="1"/>
  <c r="R148" i="1" s="1"/>
  <c r="M148" i="1" s="1"/>
  <c r="AU145" i="1"/>
  <c r="U145" i="1"/>
  <c r="T145" i="1"/>
  <c r="S145" i="1"/>
  <c r="Q145" i="1"/>
  <c r="P145" i="1"/>
  <c r="O145" i="1"/>
  <c r="L145" i="1"/>
  <c r="K145" i="1"/>
  <c r="J145" i="1"/>
  <c r="H145" i="1"/>
  <c r="N144" i="1"/>
  <c r="R144" i="1" s="1"/>
  <c r="M144" i="1" s="1"/>
  <c r="N143" i="1"/>
  <c r="R143" i="1" s="1"/>
  <c r="M143" i="1" s="1"/>
  <c r="Z142" i="1"/>
  <c r="I142" i="1"/>
  <c r="N141" i="1"/>
  <c r="R141" i="1" s="1"/>
  <c r="M141" i="1" s="1"/>
  <c r="Z140" i="1"/>
  <c r="N140" i="1"/>
  <c r="R140" i="1" s="1"/>
  <c r="M140" i="1" s="1"/>
  <c r="Z139" i="1"/>
  <c r="N139" i="1"/>
  <c r="R139" i="1" s="1"/>
  <c r="M139" i="1" s="1"/>
  <c r="AU138" i="1"/>
  <c r="Z138" i="1"/>
  <c r="N138" i="1"/>
  <c r="R138" i="1" s="1"/>
  <c r="M138" i="1" s="1"/>
  <c r="N137" i="1"/>
  <c r="R137" i="1" s="1"/>
  <c r="M137" i="1" s="1"/>
  <c r="N136" i="1"/>
  <c r="X132" i="1"/>
  <c r="W132" i="1"/>
  <c r="V132" i="1"/>
  <c r="U132" i="1"/>
  <c r="T132" i="1"/>
  <c r="S132" i="1"/>
  <c r="Q132" i="1"/>
  <c r="P132" i="1"/>
  <c r="O132" i="1"/>
  <c r="L132" i="1"/>
  <c r="K132" i="1"/>
  <c r="J132" i="1"/>
  <c r="H132" i="1"/>
  <c r="N130" i="1"/>
  <c r="R130" i="1" s="1"/>
  <c r="M130" i="1" s="1"/>
  <c r="I129" i="1"/>
  <c r="N128" i="1"/>
  <c r="N127" i="1"/>
  <c r="AG126" i="1"/>
  <c r="N124" i="1"/>
  <c r="AW122" i="1"/>
  <c r="AU122" i="1"/>
  <c r="AT122" i="1"/>
  <c r="AS122" i="1"/>
  <c r="Y122" i="1"/>
  <c r="D158" i="1" s="1"/>
  <c r="X122" i="1"/>
  <c r="W122" i="1"/>
  <c r="V122" i="1"/>
  <c r="U122" i="1"/>
  <c r="Q122" i="1"/>
  <c r="P122" i="1"/>
  <c r="O122" i="1"/>
  <c r="L122" i="1"/>
  <c r="K122" i="1"/>
  <c r="K146" i="1" s="1"/>
  <c r="J122" i="1"/>
  <c r="J146" i="1" s="1"/>
  <c r="J147" i="1" s="1"/>
  <c r="I122" i="1"/>
  <c r="H122" i="1"/>
  <c r="N121" i="1"/>
  <c r="AN120" i="1"/>
  <c r="AO120" i="1" s="1"/>
  <c r="N120" i="1"/>
  <c r="AN119" i="1"/>
  <c r="AO119" i="1" s="1"/>
  <c r="N119" i="1"/>
  <c r="AN118" i="1"/>
  <c r="AO118" i="1" s="1"/>
  <c r="N118" i="1"/>
  <c r="AN117" i="1"/>
  <c r="AO117" i="1" s="1"/>
  <c r="N117" i="1"/>
  <c r="AN116" i="1"/>
  <c r="AO116" i="1" s="1"/>
  <c r="N116" i="1"/>
  <c r="AN115" i="1"/>
  <c r="AO115" i="1" s="1"/>
  <c r="N115" i="1"/>
  <c r="AN114" i="1"/>
  <c r="AO114" i="1" s="1"/>
  <c r="N114" i="1"/>
  <c r="AN113" i="1"/>
  <c r="AO113" i="1" s="1"/>
  <c r="N113" i="1"/>
  <c r="AN112" i="1"/>
  <c r="AO112" i="1" s="1"/>
  <c r="N112" i="1"/>
  <c r="AN111" i="1"/>
  <c r="AO111" i="1" s="1"/>
  <c r="N111" i="1"/>
  <c r="AN110" i="1"/>
  <c r="AO110" i="1" s="1"/>
  <c r="N110" i="1"/>
  <c r="AN109" i="1"/>
  <c r="AO109" i="1" s="1"/>
  <c r="N109" i="1"/>
  <c r="AN106" i="1"/>
  <c r="AO106" i="1" s="1"/>
  <c r="N106" i="1"/>
  <c r="AN105" i="1"/>
  <c r="AO105" i="1" s="1"/>
  <c r="N105" i="1"/>
  <c r="AN104" i="1"/>
  <c r="AO104" i="1" s="1"/>
  <c r="N104" i="1"/>
  <c r="AN103" i="1"/>
  <c r="AO103" i="1" s="1"/>
  <c r="N103" i="1"/>
  <c r="AN102" i="1"/>
  <c r="AO102" i="1" s="1"/>
  <c r="N102" i="1"/>
  <c r="AN101" i="1"/>
  <c r="AO101" i="1" s="1"/>
  <c r="N101" i="1"/>
  <c r="AN100" i="1"/>
  <c r="AO100" i="1" s="1"/>
  <c r="N100" i="1"/>
  <c r="AN99" i="1"/>
  <c r="AO99" i="1" s="1"/>
  <c r="N99" i="1"/>
  <c r="AN98" i="1"/>
  <c r="AO98" i="1" s="1"/>
  <c r="N98" i="1"/>
  <c r="AR97" i="1"/>
  <c r="AN97" i="1"/>
  <c r="AO97" i="1" s="1"/>
  <c r="N97" i="1"/>
  <c r="AN96" i="1"/>
  <c r="AO96" i="1" s="1"/>
  <c r="N96" i="1"/>
  <c r="E96" i="1"/>
  <c r="AR96" i="1" s="1"/>
  <c r="AN95" i="1"/>
  <c r="AO95" i="1" s="1"/>
  <c r="Z95" i="1"/>
  <c r="N95" i="1"/>
  <c r="E95" i="1"/>
  <c r="AN94" i="1"/>
  <c r="AO94" i="1" s="1"/>
  <c r="N94" i="1"/>
  <c r="AN93" i="1"/>
  <c r="AO93" i="1" s="1"/>
  <c r="N93" i="1"/>
  <c r="AN92" i="1"/>
  <c r="AO92" i="1" s="1"/>
  <c r="N92" i="1"/>
  <c r="AN91" i="1"/>
  <c r="AO91" i="1" s="1"/>
  <c r="N91" i="1"/>
  <c r="AN90" i="1"/>
  <c r="AO90" i="1" s="1"/>
  <c r="N90" i="1"/>
  <c r="AN89" i="1"/>
  <c r="AO89" i="1" s="1"/>
  <c r="N89" i="1"/>
  <c r="AN88" i="1"/>
  <c r="AO88" i="1" s="1"/>
  <c r="N88" i="1"/>
  <c r="AN87" i="1"/>
  <c r="AO87" i="1" s="1"/>
  <c r="N87" i="1"/>
  <c r="AN86" i="1"/>
  <c r="AO86" i="1" s="1"/>
  <c r="N86" i="1"/>
  <c r="AN85" i="1"/>
  <c r="AO85" i="1" s="1"/>
  <c r="N85" i="1"/>
  <c r="AN84" i="1"/>
  <c r="AO84" i="1" s="1"/>
  <c r="N84" i="1"/>
  <c r="AN83" i="1"/>
  <c r="AO83" i="1" s="1"/>
  <c r="S83" i="1"/>
  <c r="N83" i="1"/>
  <c r="AN82" i="1"/>
  <c r="AO82" i="1" s="1"/>
  <c r="N82" i="1"/>
  <c r="AN81" i="1"/>
  <c r="AO81" i="1" s="1"/>
  <c r="N81" i="1"/>
  <c r="AN80" i="1"/>
  <c r="AO80" i="1" s="1"/>
  <c r="N80" i="1"/>
  <c r="N79" i="1"/>
  <c r="N78" i="1"/>
  <c r="AV77" i="1"/>
  <c r="Z77" i="1"/>
  <c r="T77" i="1"/>
  <c r="N77" i="1"/>
  <c r="R77" i="1" s="1"/>
  <c r="N76" i="1"/>
  <c r="AN75" i="1"/>
  <c r="AO75" i="1" s="1"/>
  <c r="N75" i="1"/>
  <c r="AN74" i="1"/>
  <c r="AO74" i="1" s="1"/>
  <c r="N74" i="1"/>
  <c r="AN73" i="1"/>
  <c r="AO73" i="1" s="1"/>
  <c r="N73" i="1"/>
  <c r="N72" i="1"/>
  <c r="N71" i="1"/>
  <c r="N70" i="1"/>
  <c r="AN69" i="1"/>
  <c r="AO69" i="1" s="1"/>
  <c r="N69" i="1"/>
  <c r="AN68" i="1"/>
  <c r="AO68" i="1" s="1"/>
  <c r="N68" i="1"/>
  <c r="AN67" i="1"/>
  <c r="AO67" i="1" s="1"/>
  <c r="N67" i="1"/>
  <c r="AN66" i="1"/>
  <c r="AO66" i="1" s="1"/>
  <c r="N66" i="1"/>
  <c r="AN65" i="1"/>
  <c r="AO65" i="1" s="1"/>
  <c r="N65" i="1"/>
  <c r="AN64" i="1"/>
  <c r="AO64" i="1" s="1"/>
  <c r="N64" i="1"/>
  <c r="AN63" i="1"/>
  <c r="AO63" i="1" s="1"/>
  <c r="N63" i="1"/>
  <c r="AN62" i="1"/>
  <c r="AO62" i="1" s="1"/>
  <c r="N62" i="1"/>
  <c r="AN61" i="1"/>
  <c r="AO61" i="1" s="1"/>
  <c r="N61" i="1"/>
  <c r="AN59" i="1"/>
  <c r="AO59" i="1" s="1"/>
  <c r="N59" i="1"/>
  <c r="N58" i="1"/>
  <c r="N57" i="1"/>
  <c r="N56" i="1"/>
  <c r="N55" i="1"/>
  <c r="N54" i="1"/>
  <c r="N53" i="1"/>
  <c r="N52" i="1"/>
  <c r="AN51" i="1"/>
  <c r="AO51" i="1" s="1"/>
  <c r="N51" i="1"/>
  <c r="N50" i="1"/>
  <c r="N49" i="1"/>
  <c r="N48" i="1"/>
  <c r="AN47" i="1"/>
  <c r="AO47" i="1" s="1"/>
  <c r="S47" i="1"/>
  <c r="N47" i="1"/>
  <c r="AN46" i="1"/>
  <c r="AO46" i="1" s="1"/>
  <c r="N46" i="1"/>
  <c r="N45" i="1"/>
  <c r="AN44" i="1"/>
  <c r="AO44" i="1" s="1"/>
  <c r="N44" i="1"/>
  <c r="AN43" i="1"/>
  <c r="AO43" i="1" s="1"/>
  <c r="N43" i="1"/>
  <c r="N42" i="1"/>
  <c r="N41" i="1"/>
  <c r="N40" i="1"/>
  <c r="AN39" i="1"/>
  <c r="AO39" i="1" s="1"/>
  <c r="N39" i="1"/>
  <c r="N38" i="1"/>
  <c r="N37" i="1"/>
  <c r="N36" i="1"/>
  <c r="N35" i="1"/>
  <c r="AV34" i="1"/>
  <c r="AN34" i="1"/>
  <c r="AO34" i="1" s="1"/>
  <c r="Z34" i="1"/>
  <c r="T34" i="1"/>
  <c r="N34" i="1"/>
  <c r="R34" i="1" s="1"/>
  <c r="M34" i="1" s="1"/>
  <c r="N33" i="1"/>
  <c r="AV32" i="1"/>
  <c r="Z32" i="1"/>
  <c r="T32" i="1"/>
  <c r="N32" i="1"/>
  <c r="R32" i="1" s="1"/>
  <c r="M32" i="1" s="1"/>
  <c r="N31" i="1"/>
  <c r="AV30" i="1"/>
  <c r="AN30" i="1"/>
  <c r="AO30" i="1" s="1"/>
  <c r="Z30" i="1"/>
  <c r="Z122" i="1" s="1"/>
  <c r="T30" i="1"/>
  <c r="N30" i="1"/>
  <c r="R30" i="1" s="1"/>
  <c r="M30" i="1" s="1"/>
  <c r="N29" i="1"/>
  <c r="N28" i="1"/>
  <c r="N27" i="1"/>
  <c r="AN26" i="1"/>
  <c r="AO26" i="1" s="1"/>
  <c r="N26" i="1"/>
  <c r="N25" i="1"/>
  <c r="AN24" i="1"/>
  <c r="AO24" i="1" s="1"/>
  <c r="N24" i="1"/>
  <c r="AN23" i="1"/>
  <c r="AO23" i="1" s="1"/>
  <c r="N23" i="1"/>
  <c r="AN22" i="1"/>
  <c r="AO22" i="1" s="1"/>
  <c r="N22" i="1"/>
  <c r="AN21" i="1"/>
  <c r="AO21" i="1" s="1"/>
  <c r="N21" i="1"/>
  <c r="AN20" i="1"/>
  <c r="AO20" i="1" s="1"/>
  <c r="N20" i="1"/>
  <c r="AN19" i="1"/>
  <c r="AO19" i="1" s="1"/>
  <c r="N19" i="1"/>
  <c r="AN18" i="1"/>
  <c r="AO18" i="1" s="1"/>
  <c r="N18" i="1"/>
  <c r="AN17" i="1"/>
  <c r="AO17" i="1" s="1"/>
  <c r="N17" i="1"/>
  <c r="AN16" i="1"/>
  <c r="AO16" i="1" s="1"/>
  <c r="N16" i="1"/>
  <c r="AN15" i="1"/>
  <c r="AO15" i="1" s="1"/>
  <c r="N15" i="1"/>
  <c r="AN14" i="1"/>
  <c r="AO14" i="1" s="1"/>
  <c r="N14" i="1"/>
  <c r="N13" i="1"/>
  <c r="AE12" i="1"/>
  <c r="AE11" i="1"/>
  <c r="AO4" i="1"/>
  <c r="AN3" i="1"/>
  <c r="AN2" i="1"/>
  <c r="AN1" i="1"/>
  <c r="X41" i="4" l="1"/>
  <c r="X31" i="4"/>
  <c r="X33" i="4" s="1"/>
  <c r="W31" i="4"/>
  <c r="W33" i="4" s="1"/>
  <c r="W41" i="4"/>
  <c r="V28" i="4"/>
  <c r="V89" i="3"/>
  <c r="V92" i="3" s="1"/>
  <c r="V94" i="3" s="1"/>
  <c r="V79" i="3"/>
  <c r="V81" i="3" s="1"/>
  <c r="T31" i="2"/>
  <c r="T33" i="2" s="1"/>
  <c r="T41" i="2"/>
  <c r="R25" i="2"/>
  <c r="M25" i="2" s="1"/>
  <c r="AE25" i="2"/>
  <c r="AF25" i="2" s="1"/>
  <c r="R24" i="2"/>
  <c r="AE24" i="2"/>
  <c r="AF24" i="2" s="1"/>
  <c r="AE23" i="2"/>
  <c r="AF23" i="2" s="1"/>
  <c r="R23" i="2"/>
  <c r="AE22" i="2"/>
  <c r="AF22" i="2" s="1"/>
  <c r="R22" i="2"/>
  <c r="M22" i="2" s="1"/>
  <c r="AE21" i="2"/>
  <c r="AF21" i="2" s="1"/>
  <c r="R21" i="2"/>
  <c r="M21" i="2" s="1"/>
  <c r="AE20" i="2"/>
  <c r="AF20" i="2" s="1"/>
  <c r="R20" i="2"/>
  <c r="M20" i="2" s="1"/>
  <c r="E26" i="2"/>
  <c r="E27" i="2" s="1"/>
  <c r="AR20" i="2"/>
  <c r="AR26" i="2" s="1"/>
  <c r="AX26" i="2" s="1"/>
  <c r="AX27" i="2" s="1"/>
  <c r="AE19" i="2"/>
  <c r="AF19" i="2" s="1"/>
  <c r="R19" i="2"/>
  <c r="M19" i="2" s="1"/>
  <c r="AE18" i="2"/>
  <c r="AF18" i="2" s="1"/>
  <c r="R18" i="2"/>
  <c r="M18" i="2" s="1"/>
  <c r="R16" i="2"/>
  <c r="M16" i="2" s="1"/>
  <c r="AE16" i="2"/>
  <c r="AF16" i="2" s="1"/>
  <c r="AE15" i="2"/>
  <c r="AF15" i="2" s="1"/>
  <c r="R15" i="2"/>
  <c r="M15" i="2" s="1"/>
  <c r="R14" i="2"/>
  <c r="M14" i="2" s="1"/>
  <c r="AE14" i="2"/>
  <c r="AE13" i="2"/>
  <c r="AF13" i="2" s="1"/>
  <c r="N26" i="2"/>
  <c r="R13" i="2"/>
  <c r="M77" i="1"/>
  <c r="T147" i="1"/>
  <c r="AE77" i="1"/>
  <c r="S122" i="1"/>
  <c r="AE34" i="1"/>
  <c r="AE32" i="1"/>
  <c r="N142" i="1"/>
  <c r="R142" i="1" s="1"/>
  <c r="M142" i="1" s="1"/>
  <c r="I145" i="1"/>
  <c r="N145" i="1"/>
  <c r="R136" i="1"/>
  <c r="I132" i="1"/>
  <c r="I146" i="1" s="1"/>
  <c r="N129" i="1"/>
  <c r="AE128" i="1"/>
  <c r="R128" i="1"/>
  <c r="M128" i="1" s="1"/>
  <c r="R127" i="1"/>
  <c r="M127" i="1" s="1"/>
  <c r="AE127" i="1"/>
  <c r="AE124" i="1"/>
  <c r="R124" i="1"/>
  <c r="M124" i="1" s="1"/>
  <c r="H146" i="1"/>
  <c r="AR123" i="1"/>
  <c r="AE121" i="1"/>
  <c r="R121" i="1"/>
  <c r="M121" i="1" s="1"/>
  <c r="AE120" i="1"/>
  <c r="R120" i="1"/>
  <c r="M120" i="1" s="1"/>
  <c r="R119" i="1"/>
  <c r="M119" i="1" s="1"/>
  <c r="AE119" i="1"/>
  <c r="R118" i="1"/>
  <c r="M118" i="1" s="1"/>
  <c r="AE118" i="1"/>
  <c r="R117" i="1"/>
  <c r="M117" i="1" s="1"/>
  <c r="AE117" i="1"/>
  <c r="AE116" i="1"/>
  <c r="R116" i="1"/>
  <c r="M116" i="1" s="1"/>
  <c r="AE115" i="1"/>
  <c r="R115" i="1"/>
  <c r="M115" i="1" s="1"/>
  <c r="AE114" i="1"/>
  <c r="R114" i="1"/>
  <c r="M114" i="1" s="1"/>
  <c r="R113" i="1"/>
  <c r="M113" i="1" s="1"/>
  <c r="AE113" i="1"/>
  <c r="AE112" i="1"/>
  <c r="R112" i="1"/>
  <c r="M112" i="1" s="1"/>
  <c r="R111" i="1"/>
  <c r="M111" i="1" s="1"/>
  <c r="AE111" i="1"/>
  <c r="R110" i="1"/>
  <c r="M110" i="1" s="1"/>
  <c r="AE110" i="1"/>
  <c r="R109" i="1"/>
  <c r="M109" i="1" s="1"/>
  <c r="AE109" i="1"/>
  <c r="R106" i="1"/>
  <c r="M106" i="1" s="1"/>
  <c r="AE106" i="1"/>
  <c r="AE105" i="1"/>
  <c r="R105" i="1"/>
  <c r="AE104" i="1"/>
  <c r="R104" i="1"/>
  <c r="AE103" i="1"/>
  <c r="R103" i="1"/>
  <c r="M103" i="1" s="1"/>
  <c r="AE102" i="1"/>
  <c r="R102" i="1"/>
  <c r="M102" i="1" s="1"/>
  <c r="R101" i="1"/>
  <c r="M101" i="1" s="1"/>
  <c r="AE101" i="1"/>
  <c r="AE100" i="1"/>
  <c r="R100" i="1"/>
  <c r="M100" i="1" s="1"/>
  <c r="AE99" i="1"/>
  <c r="R99" i="1"/>
  <c r="M99" i="1" s="1"/>
  <c r="R98" i="1"/>
  <c r="M98" i="1" s="1"/>
  <c r="AE98" i="1"/>
  <c r="R97" i="1"/>
  <c r="M97" i="1" s="1"/>
  <c r="AE97" i="1"/>
  <c r="AE96" i="1"/>
  <c r="R96" i="1"/>
  <c r="M96" i="1" s="1"/>
  <c r="R95" i="1"/>
  <c r="M95" i="1" s="1"/>
  <c r="AE95" i="1"/>
  <c r="E122" i="1"/>
  <c r="E123" i="1" s="1"/>
  <c r="AG127" i="1" s="1"/>
  <c r="AR95" i="1"/>
  <c r="R94" i="1"/>
  <c r="M94" i="1" s="1"/>
  <c r="AE94" i="1"/>
  <c r="R93" i="1"/>
  <c r="M93" i="1" s="1"/>
  <c r="AE93" i="1"/>
  <c r="R92" i="1"/>
  <c r="M92" i="1" s="1"/>
  <c r="AE92" i="1"/>
  <c r="R91" i="1"/>
  <c r="M91" i="1" s="1"/>
  <c r="AE91" i="1"/>
  <c r="AE90" i="1"/>
  <c r="R90" i="1"/>
  <c r="M90" i="1" s="1"/>
  <c r="AE89" i="1"/>
  <c r="R89" i="1"/>
  <c r="M89" i="1" s="1"/>
  <c r="AE88" i="1"/>
  <c r="R88" i="1"/>
  <c r="M88" i="1" s="1"/>
  <c r="R87" i="1"/>
  <c r="M87" i="1" s="1"/>
  <c r="AE87" i="1"/>
  <c r="R86" i="1"/>
  <c r="M86" i="1" s="1"/>
  <c r="AE86" i="1"/>
  <c r="R85" i="1"/>
  <c r="M85" i="1" s="1"/>
  <c r="AE85" i="1"/>
  <c r="R84" i="1"/>
  <c r="M84" i="1" s="1"/>
  <c r="AE84" i="1"/>
  <c r="AE83" i="1"/>
  <c r="R83" i="1"/>
  <c r="M83" i="1" s="1"/>
  <c r="AE82" i="1"/>
  <c r="R82" i="1"/>
  <c r="M82" i="1" s="1"/>
  <c r="AE81" i="1"/>
  <c r="R81" i="1"/>
  <c r="M81" i="1" s="1"/>
  <c r="R80" i="1"/>
  <c r="M80" i="1" s="1"/>
  <c r="AE80" i="1"/>
  <c r="AE79" i="1"/>
  <c r="R79" i="1"/>
  <c r="M79" i="1" s="1"/>
  <c r="AE78" i="1"/>
  <c r="R78" i="1"/>
  <c r="M78" i="1" s="1"/>
  <c r="AE76" i="1"/>
  <c r="R76" i="1"/>
  <c r="M76" i="1" s="1"/>
  <c r="AE75" i="1"/>
  <c r="R75" i="1"/>
  <c r="M75" i="1" s="1"/>
  <c r="AE74" i="1"/>
  <c r="R74" i="1"/>
  <c r="M74" i="1" s="1"/>
  <c r="AE73" i="1"/>
  <c r="R73" i="1"/>
  <c r="M73" i="1" s="1"/>
  <c r="AE72" i="1"/>
  <c r="R72" i="1"/>
  <c r="M72" i="1" s="1"/>
  <c r="AE71" i="1"/>
  <c r="R71" i="1"/>
  <c r="M71" i="1" s="1"/>
  <c r="AE70" i="1"/>
  <c r="R70" i="1"/>
  <c r="M70" i="1" s="1"/>
  <c r="AE69" i="1"/>
  <c r="R69" i="1"/>
  <c r="M69" i="1" s="1"/>
  <c r="R68" i="1"/>
  <c r="M68" i="1" s="1"/>
  <c r="AE68" i="1"/>
  <c r="AE67" i="1"/>
  <c r="R67" i="1"/>
  <c r="M67" i="1" s="1"/>
  <c r="AE66" i="1"/>
  <c r="R66" i="1"/>
  <c r="M66" i="1" s="1"/>
  <c r="R65" i="1"/>
  <c r="M65" i="1" s="1"/>
  <c r="AE65" i="1"/>
  <c r="R64" i="1"/>
  <c r="M64" i="1" s="1"/>
  <c r="AE64" i="1"/>
  <c r="AE63" i="1"/>
  <c r="R63" i="1"/>
  <c r="M63" i="1" s="1"/>
  <c r="R62" i="1"/>
  <c r="M62" i="1" s="1"/>
  <c r="AE62" i="1"/>
  <c r="R61" i="1"/>
  <c r="M61" i="1" s="1"/>
  <c r="AE61" i="1"/>
  <c r="AE59" i="1"/>
  <c r="R59" i="1"/>
  <c r="M59" i="1" s="1"/>
  <c r="R58" i="1"/>
  <c r="M58" i="1" s="1"/>
  <c r="AE58" i="1"/>
  <c r="R57" i="1"/>
  <c r="M57" i="1" s="1"/>
  <c r="AE57" i="1"/>
  <c r="R56" i="1"/>
  <c r="M56" i="1" s="1"/>
  <c r="AE56" i="1"/>
  <c r="R55" i="1"/>
  <c r="M55" i="1" s="1"/>
  <c r="AE55" i="1"/>
  <c r="AE54" i="1"/>
  <c r="R54" i="1"/>
  <c r="M54" i="1" s="1"/>
  <c r="R53" i="1"/>
  <c r="M53" i="1" s="1"/>
  <c r="AE53" i="1"/>
  <c r="AE52" i="1"/>
  <c r="R52" i="1"/>
  <c r="M52" i="1" s="1"/>
  <c r="AE51" i="1"/>
  <c r="R51" i="1"/>
  <c r="M51" i="1" s="1"/>
  <c r="AE50" i="1"/>
  <c r="R50" i="1"/>
  <c r="M50" i="1" s="1"/>
  <c r="R49" i="1"/>
  <c r="M49" i="1" s="1"/>
  <c r="AE49" i="1"/>
  <c r="AE48" i="1"/>
  <c r="R48" i="1"/>
  <c r="M48" i="1" s="1"/>
  <c r="R47" i="1"/>
  <c r="M47" i="1" s="1"/>
  <c r="AE47" i="1"/>
  <c r="AE46" i="1"/>
  <c r="R46" i="1"/>
  <c r="M46" i="1" s="1"/>
  <c r="AE45" i="1"/>
  <c r="R45" i="1"/>
  <c r="M45" i="1" s="1"/>
  <c r="AE44" i="1"/>
  <c r="R44" i="1"/>
  <c r="M44" i="1" s="1"/>
  <c r="R43" i="1"/>
  <c r="M43" i="1" s="1"/>
  <c r="AE43" i="1"/>
  <c r="AE42" i="1"/>
  <c r="R42" i="1"/>
  <c r="M42" i="1" s="1"/>
  <c r="AE41" i="1"/>
  <c r="R41" i="1"/>
  <c r="M41" i="1" s="1"/>
  <c r="R40" i="1"/>
  <c r="M40" i="1" s="1"/>
  <c r="AE40" i="1"/>
  <c r="AE39" i="1"/>
  <c r="R39" i="1"/>
  <c r="M39" i="1" s="1"/>
  <c r="R38" i="1"/>
  <c r="M38" i="1" s="1"/>
  <c r="AE38" i="1"/>
  <c r="AE37" i="1"/>
  <c r="R37" i="1"/>
  <c r="M37" i="1" s="1"/>
  <c r="R36" i="1"/>
  <c r="M36" i="1" s="1"/>
  <c r="AE36" i="1"/>
  <c r="AE35" i="1"/>
  <c r="R35" i="1"/>
  <c r="M35" i="1" s="1"/>
  <c r="AE33" i="1"/>
  <c r="R33" i="1"/>
  <c r="M33" i="1" s="1"/>
  <c r="AE31" i="1"/>
  <c r="R31" i="1"/>
  <c r="M31" i="1" s="1"/>
  <c r="AV122" i="1"/>
  <c r="AS134" i="1"/>
  <c r="AT134" i="1"/>
  <c r="AS140" i="1"/>
  <c r="AE30" i="1"/>
  <c r="T122" i="1"/>
  <c r="AE29" i="1"/>
  <c r="R29" i="1"/>
  <c r="M29" i="1" s="1"/>
  <c r="R28" i="1"/>
  <c r="M28" i="1" s="1"/>
  <c r="AE28" i="1"/>
  <c r="R27" i="1"/>
  <c r="M27" i="1" s="1"/>
  <c r="AE27" i="1"/>
  <c r="R26" i="1"/>
  <c r="M26" i="1" s="1"/>
  <c r="AE26" i="1"/>
  <c r="R25" i="1"/>
  <c r="M25" i="1" s="1"/>
  <c r="AE25" i="1"/>
  <c r="AE24" i="1"/>
  <c r="R24" i="1"/>
  <c r="M24" i="1" s="1"/>
  <c r="AE23" i="1"/>
  <c r="R23" i="1"/>
  <c r="M23" i="1" s="1"/>
  <c r="AE22" i="1"/>
  <c r="R22" i="1"/>
  <c r="M22" i="1" s="1"/>
  <c r="AE21" i="1"/>
  <c r="R21" i="1"/>
  <c r="M21" i="1" s="1"/>
  <c r="AE20" i="1"/>
  <c r="R20" i="1"/>
  <c r="M20" i="1" s="1"/>
  <c r="AE19" i="1"/>
  <c r="R19" i="1"/>
  <c r="M19" i="1" s="1"/>
  <c r="AE18" i="1"/>
  <c r="R18" i="1"/>
  <c r="M18" i="1" s="1"/>
  <c r="R17" i="1"/>
  <c r="M17" i="1" s="1"/>
  <c r="AE17" i="1"/>
  <c r="R16" i="1"/>
  <c r="M16" i="1" s="1"/>
  <c r="AE16" i="1"/>
  <c r="R15" i="1"/>
  <c r="M15" i="1" s="1"/>
  <c r="AE15" i="1"/>
  <c r="AE14" i="1"/>
  <c r="R14" i="1"/>
  <c r="M14" i="1" s="1"/>
  <c r="R13" i="1"/>
  <c r="N122" i="1"/>
  <c r="AE13" i="1"/>
  <c r="AF13" i="1" s="1"/>
  <c r="AF14" i="1" s="1"/>
  <c r="AF15" i="1" s="1"/>
  <c r="AF16" i="1" s="1"/>
  <c r="AF17" i="1" s="1"/>
  <c r="AF18" i="1" s="1"/>
  <c r="AF19" i="1" s="1"/>
  <c r="AF20" i="1" s="1"/>
  <c r="AF21" i="1" s="1"/>
  <c r="X45" i="4" l="1"/>
  <c r="X47" i="4" s="1"/>
  <c r="X43" i="4"/>
  <c r="W45" i="4"/>
  <c r="W47" i="4" s="1"/>
  <c r="W43" i="4"/>
  <c r="V41" i="4"/>
  <c r="V31" i="4"/>
  <c r="Y28" i="4"/>
  <c r="T37" i="2"/>
  <c r="T40" i="2"/>
  <c r="T46" i="2" s="1"/>
  <c r="AF14" i="2"/>
  <c r="AG26" i="2"/>
  <c r="AG27" i="2" s="1"/>
  <c r="R26" i="2"/>
  <c r="M13" i="2"/>
  <c r="M26" i="2" s="1"/>
  <c r="H147" i="1"/>
  <c r="AT135" i="1"/>
  <c r="AS135" i="1"/>
  <c r="AG122" i="1"/>
  <c r="AG123" i="1" s="1"/>
  <c r="AF22" i="1"/>
  <c r="AF23" i="1" s="1"/>
  <c r="AF24" i="1" s="1"/>
  <c r="AF25" i="1" s="1"/>
  <c r="AF26" i="1" s="1"/>
  <c r="AF27" i="1" s="1"/>
  <c r="AF28" i="1" s="1"/>
  <c r="AF29" i="1" s="1"/>
  <c r="AF30" i="1" s="1"/>
  <c r="AF31" i="1" s="1"/>
  <c r="AF32" i="1" s="1"/>
  <c r="AF33" i="1" s="1"/>
  <c r="AF34" i="1" s="1"/>
  <c r="AF35" i="1" s="1"/>
  <c r="AF36" i="1" s="1"/>
  <c r="AF37" i="1" s="1"/>
  <c r="AF38" i="1" s="1"/>
  <c r="AF39" i="1" s="1"/>
  <c r="AF40" i="1" s="1"/>
  <c r="AF41" i="1" s="1"/>
  <c r="AF42" i="1" s="1"/>
  <c r="AF43" i="1" s="1"/>
  <c r="AF44" i="1" s="1"/>
  <c r="AF45" i="1" s="1"/>
  <c r="AF46" i="1" s="1"/>
  <c r="AF47" i="1" s="1"/>
  <c r="AF48" i="1" s="1"/>
  <c r="AF49" i="1" s="1"/>
  <c r="AF50" i="1" s="1"/>
  <c r="AF51" i="1" s="1"/>
  <c r="AF52" i="1" s="1"/>
  <c r="AF53" i="1" s="1"/>
  <c r="AF54" i="1" s="1"/>
  <c r="AF55" i="1" s="1"/>
  <c r="AF56" i="1" s="1"/>
  <c r="AF57" i="1" s="1"/>
  <c r="AF58" i="1" s="1"/>
  <c r="AF59" i="1" s="1"/>
  <c r="AF60" i="1" s="1"/>
  <c r="AF61" i="1" s="1"/>
  <c r="AF62" i="1" s="1"/>
  <c r="AF63" i="1" s="1"/>
  <c r="AF64" i="1" s="1"/>
  <c r="AF65" i="1" s="1"/>
  <c r="AF66" i="1" s="1"/>
  <c r="AF67" i="1" s="1"/>
  <c r="AF68" i="1" s="1"/>
  <c r="AF69" i="1" s="1"/>
  <c r="AF70" i="1" s="1"/>
  <c r="AF71" i="1" s="1"/>
  <c r="AF72" i="1" s="1"/>
  <c r="AF73" i="1" s="1"/>
  <c r="AF74" i="1" s="1"/>
  <c r="AF75" i="1" s="1"/>
  <c r="AF76" i="1" s="1"/>
  <c r="AF77" i="1" s="1"/>
  <c r="AF78" i="1" s="1"/>
  <c r="AF79" i="1" s="1"/>
  <c r="AF80" i="1" s="1"/>
  <c r="AF81" i="1" s="1"/>
  <c r="AF82" i="1" s="1"/>
  <c r="AF83" i="1" s="1"/>
  <c r="AF84" i="1" s="1"/>
  <c r="AF85" i="1" s="1"/>
  <c r="AF86" i="1" s="1"/>
  <c r="AF87" i="1" s="1"/>
  <c r="AF88" i="1" s="1"/>
  <c r="AF89" i="1" s="1"/>
  <c r="AF90" i="1" s="1"/>
  <c r="AF91" i="1" s="1"/>
  <c r="AF92" i="1" s="1"/>
  <c r="AF93" i="1" s="1"/>
  <c r="AF94" i="1" s="1"/>
  <c r="AF95" i="1" s="1"/>
  <c r="AF96" i="1" s="1"/>
  <c r="AF97" i="1" s="1"/>
  <c r="AF98" i="1" s="1"/>
  <c r="AF99" i="1" s="1"/>
  <c r="AF100" i="1" s="1"/>
  <c r="AF101" i="1" s="1"/>
  <c r="AF102" i="1" s="1"/>
  <c r="AF103" i="1" s="1"/>
  <c r="AF104" i="1" s="1"/>
  <c r="AF105" i="1" s="1"/>
  <c r="AF106" i="1" s="1"/>
  <c r="AF107" i="1" s="1"/>
  <c r="AF108" i="1" s="1"/>
  <c r="AF109" i="1" s="1"/>
  <c r="AF110" i="1" s="1"/>
  <c r="AF111" i="1" s="1"/>
  <c r="AF112" i="1" s="1"/>
  <c r="AF113" i="1" s="1"/>
  <c r="AF114" i="1" s="1"/>
  <c r="AF115" i="1" s="1"/>
  <c r="AF116" i="1" s="1"/>
  <c r="AF117" i="1" s="1"/>
  <c r="AF118" i="1" s="1"/>
  <c r="AF119" i="1" s="1"/>
  <c r="AF120" i="1" s="1"/>
  <c r="AF121" i="1" s="1"/>
  <c r="AF122" i="1" s="1"/>
  <c r="AF123" i="1" s="1"/>
  <c r="AF124" i="1" s="1"/>
  <c r="R145" i="1"/>
  <c r="M136" i="1"/>
  <c r="M145" i="1" s="1"/>
  <c r="R129" i="1"/>
  <c r="N132" i="1"/>
  <c r="N147" i="1" s="1"/>
  <c r="AR122" i="1"/>
  <c r="AS136" i="1"/>
  <c r="AT136" i="1"/>
  <c r="AS139" i="1"/>
  <c r="AT139" i="1"/>
  <c r="AT140" i="1"/>
  <c r="AU140" i="1" s="1"/>
  <c r="AS141" i="1"/>
  <c r="AT141" i="1"/>
  <c r="AU134" i="1"/>
  <c r="R122" i="1"/>
  <c r="M13" i="1"/>
  <c r="M122" i="1" s="1"/>
  <c r="Y41" i="4" l="1"/>
  <c r="Y43" i="4" s="1"/>
  <c r="Y45" i="4" s="1"/>
  <c r="V45" i="4"/>
  <c r="V47" i="4" s="1"/>
  <c r="Y47" i="4" s="1"/>
  <c r="V43" i="4"/>
  <c r="Y31" i="4"/>
  <c r="Y33" i="4" s="1"/>
  <c r="V33" i="4"/>
  <c r="AU135" i="1"/>
  <c r="AG125" i="1"/>
  <c r="AF125" i="1"/>
  <c r="AF126" i="1" s="1"/>
  <c r="AF127" i="1" s="1"/>
  <c r="AF128" i="1" s="1"/>
  <c r="AF129" i="1" s="1"/>
  <c r="AF130" i="1" s="1"/>
  <c r="AF131" i="1" s="1"/>
  <c r="AF132" i="1" s="1"/>
  <c r="AF133" i="1" s="1"/>
  <c r="AF134" i="1" s="1"/>
  <c r="AF135" i="1" s="1"/>
  <c r="AF136" i="1" s="1"/>
  <c r="AF137" i="1" s="1"/>
  <c r="AF138" i="1" s="1"/>
  <c r="AF139" i="1" s="1"/>
  <c r="AF140" i="1" s="1"/>
  <c r="AF141" i="1" s="1"/>
  <c r="AF142" i="1" s="1"/>
  <c r="AF143" i="1" s="1"/>
  <c r="AF144" i="1" s="1"/>
  <c r="AF145" i="1" s="1"/>
  <c r="AF146" i="1" s="1"/>
  <c r="AF147" i="1" s="1"/>
  <c r="AF148" i="1" s="1"/>
  <c r="AF149" i="1" s="1"/>
  <c r="AF150" i="1" s="1"/>
  <c r="AF151" i="1" s="1"/>
  <c r="AF152" i="1" s="1"/>
  <c r="AF153" i="1" s="1"/>
  <c r="AF154" i="1" s="1"/>
  <c r="AF155" i="1" s="1"/>
  <c r="AF156" i="1" s="1"/>
  <c r="AF157" i="1" s="1"/>
  <c r="AF158" i="1" s="1"/>
  <c r="AF159" i="1" s="1"/>
  <c r="AS143" i="1"/>
  <c r="AS147" i="1" s="1"/>
  <c r="R132" i="1"/>
  <c r="M129" i="1"/>
  <c r="M132" i="1" s="1"/>
  <c r="AX122" i="1"/>
  <c r="AX123" i="1" s="1"/>
  <c r="AR124" i="1"/>
  <c r="AR127" i="1" s="1"/>
  <c r="AR129" i="1" s="1"/>
  <c r="AU136" i="1"/>
  <c r="AT143" i="1"/>
  <c r="AT147" i="1" s="1"/>
  <c r="AU139" i="1"/>
  <c r="AV140" i="1" s="1"/>
  <c r="AU141" i="1"/>
  <c r="AU143" i="1" l="1"/>
  <c r="AU147" i="1" s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/>
  </authors>
  <commentList>
    <comment ref="V30" authorId="0" shapeId="0" xr:uid="{27147C9B-F30B-4192-A230-2E3D0ECE5C66}">
      <text>
        <r>
          <rPr>
            <sz val="11"/>
            <color theme="1"/>
            <rFont val="Aptos Narrow"/>
            <family val="2"/>
            <scheme val="minor"/>
          </rPr>
          <t>======
ID#AAABzRh9ibw
Acer    (2026-02-01 11:41:17)
posted-75,082.02
actual- 74,205.18</t>
        </r>
      </text>
    </comment>
    <comment ref="V34" authorId="0" shapeId="0" xr:uid="{F81C8679-D947-434F-99B8-7EA8DDFABB35}">
      <text>
        <r>
          <rPr>
            <sz val="11"/>
            <color theme="1"/>
            <rFont val="Aptos Narrow"/>
            <family val="2"/>
            <scheme val="minor"/>
          </rPr>
          <t>======
ID#AAABzRh9ib8
Acer    (2026-02-01 11:41:17)
posted-150,085.87
actual- 149,527.62</t>
        </r>
      </text>
    </comment>
    <comment ref="V44" authorId="0" shapeId="0" xr:uid="{AF1F46E0-6A97-40A7-8EE3-A9EF7E3EA878}">
      <text>
        <r>
          <rPr>
            <sz val="11"/>
            <color theme="1"/>
            <rFont val="Aptos Narrow"/>
            <family val="2"/>
            <scheme val="minor"/>
          </rPr>
          <t>======
ID#AAABzRh9ib4
Acer    (2026-02-01 11:41:17)
POSTED-183,017.32
actual- 182,661.38</t>
        </r>
      </text>
    </comment>
    <comment ref="V59" authorId="0" shapeId="0" xr:uid="{3E864499-5A64-4A1C-9172-3B64EC788F26}">
      <text>
        <r>
          <rPr>
            <sz val="11"/>
            <color theme="1"/>
            <rFont val="Aptos Narrow"/>
            <family val="2"/>
            <scheme val="minor"/>
          </rPr>
          <t>======
ID#AAAB1Jqk9tU
Acer    (2026-02-27 03:32:50)
posted- 150,744.52
actual- 149,054.55</t>
        </r>
      </text>
    </comment>
    <comment ref="V80" authorId="0" shapeId="0" xr:uid="{038F9525-EBC2-47D0-B690-AA18BD6D8341}">
      <text>
        <r>
          <rPr>
            <sz val="11"/>
            <color theme="1"/>
            <rFont val="Aptos Narrow"/>
            <family val="2"/>
            <scheme val="minor"/>
          </rPr>
          <t>======
ID#AAABzRh9icA
Acer    (2026-02-01 11:41:17)
posted- 127,891.4
actual- 127,719.86</t>
        </r>
      </text>
    </comment>
    <comment ref="T136" authorId="0" shapeId="0" xr:uid="{02AB9F84-DDCE-43BA-8E67-168C64820907}">
      <text>
        <r>
          <rPr>
            <sz val="11"/>
            <color theme="1"/>
            <rFont val="Aptos Narrow"/>
            <family val="2"/>
            <scheme val="minor"/>
          </rPr>
          <t>======
ID#AAABz0mmk1g
Acer    (2026-02-09 06:16:49)
jan-feb 2025- 31,400
5/25 ap-(apr-may 2025) 19,163
7/25- pd 30,202.31
9/25- pd 15,700
9/25- 15,700
AP on 1/26- 28,260</t>
        </r>
      </text>
    </comment>
    <comment ref="U136" authorId="0" shapeId="0" xr:uid="{47256D2E-8070-437E-ACA9-6DA841C1F987}">
      <text>
        <r>
          <rPr>
            <sz val="11"/>
            <color theme="1"/>
            <rFont val="Aptos Narrow"/>
            <family val="2"/>
            <scheme val="minor"/>
          </rPr>
          <t>======
ID#AAAB1JCwlVU
Acer    (2026-02-27 07:27:01)
jan-feb 2025- 31,400
5/25 ap-(apr-may 2025) 19,163
7/25- pd 30,202.31
9/25- pd 15,700
9/25- 15,700
AP on 1/26- 28,260</t>
        </r>
      </text>
    </comment>
    <comment ref="Z136" authorId="0" shapeId="0" xr:uid="{7A2CEBBC-51DE-4D13-B114-25AE831F7C4D}">
      <text>
        <r>
          <rPr>
            <sz val="11"/>
            <color theme="1"/>
            <rFont val="Aptos Narrow"/>
            <family val="2"/>
            <scheme val="minor"/>
          </rPr>
          <t>======
ID#AAABzLk2xtE
Acer    (2026-01-29 10:23:00)
jan-feb 2025- 31,400
5/25 ap-(apr-may 2025) 19,163
7/25- pd 30,202.31
9/25- pd 15,700
9/25- 15,700
AP on 1/26- 28,260</t>
        </r>
      </text>
    </comment>
  </commentList>
</comments>
</file>

<file path=xl/sharedStrings.xml><?xml version="1.0" encoding="utf-8"?>
<sst xmlns="http://schemas.openxmlformats.org/spreadsheetml/2006/main" count="2233" uniqueCount="504">
  <si>
    <t>Allotment and Utilization Control Sheet</t>
  </si>
  <si>
    <t xml:space="preserve"> </t>
  </si>
  <si>
    <t>CURRENT YEAR DD</t>
  </si>
  <si>
    <t>DI-ACCT-01</t>
  </si>
  <si>
    <t>PROCESSING TIME COMPUTATION</t>
  </si>
  <si>
    <t>no lunch break</t>
  </si>
  <si>
    <t>work time</t>
  </si>
  <si>
    <t>Fund Cluster- 01</t>
  </si>
  <si>
    <t>CURRENT NYDD</t>
  </si>
  <si>
    <t>SHORTEST TIME</t>
  </si>
  <si>
    <t>with lunch break (lb)</t>
  </si>
  <si>
    <t>Lower</t>
  </si>
  <si>
    <t>CY 2026</t>
  </si>
  <si>
    <t>PY NY BECAME DD ON CURRENT YEAR</t>
  </si>
  <si>
    <t>LONGEST TIME</t>
  </si>
  <si>
    <t>next day</t>
  </si>
  <si>
    <t>Upper</t>
  </si>
  <si>
    <t>RE-ISSUANCE</t>
  </si>
  <si>
    <t>batch with different time in</t>
  </si>
  <si>
    <t>CANCELLED</t>
  </si>
  <si>
    <t>UNISSUED BY CASHIER</t>
  </si>
  <si>
    <t>PAYMENT</t>
  </si>
  <si>
    <t>POSTING</t>
  </si>
  <si>
    <t>HH:MM:SS</t>
  </si>
  <si>
    <t>Monthly</t>
  </si>
  <si>
    <t>CURRENT YEAR ALLOTMENT</t>
  </si>
  <si>
    <t>PRIOR YEAR ALLOTMENT</t>
  </si>
  <si>
    <t>OBR #</t>
  </si>
  <si>
    <t>PAYEE</t>
  </si>
  <si>
    <t>CHARGING</t>
  </si>
  <si>
    <t>RC</t>
  </si>
  <si>
    <t>PARTICULARS</t>
  </si>
  <si>
    <t>VAT</t>
  </si>
  <si>
    <t>WTX</t>
  </si>
  <si>
    <t>refund of overpayment</t>
  </si>
  <si>
    <t>retention</t>
  </si>
  <si>
    <t>Total Deductions</t>
  </si>
  <si>
    <t>Due to Officers and Employees/AP (NET)</t>
  </si>
  <si>
    <t>Charging 
Breakdown</t>
  </si>
  <si>
    <t>PAID NYDD</t>
  </si>
  <si>
    <t>PAID Aps</t>
  </si>
  <si>
    <t>GROSS</t>
  </si>
  <si>
    <t>NET</t>
  </si>
  <si>
    <t>DATE</t>
  </si>
  <si>
    <t xml:space="preserve">DV# </t>
  </si>
  <si>
    <t>RECEIPTS</t>
  </si>
  <si>
    <t>NET OF WTX</t>
  </si>
  <si>
    <t>BALANCE</t>
  </si>
  <si>
    <t>ACCT CODES</t>
  </si>
  <si>
    <t>JEV #</t>
  </si>
  <si>
    <t>IN</t>
  </si>
  <si>
    <t>OUT</t>
  </si>
  <si>
    <t xml:space="preserve">Batch Processing </t>
  </si>
  <si>
    <t xml:space="preserve">Individual Processing </t>
  </si>
  <si>
    <t>REMARKS</t>
  </si>
  <si>
    <t xml:space="preserve"> ROD</t>
  </si>
  <si>
    <t>PS</t>
  </si>
  <si>
    <t>MOOE</t>
  </si>
  <si>
    <t>CO</t>
  </si>
  <si>
    <t>W</t>
  </si>
  <si>
    <t>Comp</t>
  </si>
  <si>
    <t>EVAT</t>
  </si>
  <si>
    <t>VT</t>
  </si>
  <si>
    <t>PT</t>
  </si>
  <si>
    <t>Final Tax</t>
  </si>
  <si>
    <t>Checking</t>
  </si>
  <si>
    <t>Total</t>
  </si>
  <si>
    <t>Local tax</t>
  </si>
  <si>
    <t>/liquidated damages</t>
  </si>
  <si>
    <t>Prior Year</t>
  </si>
  <si>
    <t>Current Year</t>
  </si>
  <si>
    <t>FROM MMA</t>
  </si>
  <si>
    <t>TO ORD</t>
  </si>
  <si>
    <t>Time</t>
  </si>
  <si>
    <t>A/C</t>
  </si>
  <si>
    <t>JANUARY</t>
  </si>
  <si>
    <t>SL</t>
  </si>
  <si>
    <t>NCA-BMB-F-26-0000501</t>
  </si>
  <si>
    <t>To cover the regular operating and RLIP requirements for January 2026</t>
  </si>
  <si>
    <t>I</t>
  </si>
  <si>
    <t>01</t>
  </si>
  <si>
    <t>0001</t>
  </si>
  <si>
    <t>Aneco, Inc.</t>
  </si>
  <si>
    <t>Regular MOOE</t>
  </si>
  <si>
    <t>00 RO</t>
  </si>
  <si>
    <t>Electric bill of DOST-Caraga Regional Office for December 2025</t>
  </si>
  <si>
    <t>001</t>
  </si>
  <si>
    <t>C</t>
  </si>
  <si>
    <t>0002</t>
  </si>
  <si>
    <t>01-01-06 RSTL</t>
  </si>
  <si>
    <t>Electric bill of DOST-Caraga Mineral Laboratory for December 2025</t>
  </si>
  <si>
    <t>002</t>
  </si>
  <si>
    <t>0003</t>
  </si>
  <si>
    <t>GIA</t>
  </si>
  <si>
    <t>01-01-01 ADN</t>
  </si>
  <si>
    <t>Electric bill of DOST-Gold Copper Processing Plant for December 2025</t>
  </si>
  <si>
    <t>003</t>
  </si>
  <si>
    <t>0004</t>
  </si>
  <si>
    <t>SURSECO II</t>
  </si>
  <si>
    <t>01-01-04 SDS</t>
  </si>
  <si>
    <t>Electric bill of PSTC-SDS Tandag City for December 2025</t>
  </si>
  <si>
    <t>004</t>
  </si>
  <si>
    <t>A</t>
  </si>
  <si>
    <t>0005</t>
  </si>
  <si>
    <t>TETCO</t>
  </si>
  <si>
    <t>01-01-03 SDN</t>
  </si>
  <si>
    <t>Telephone and internet bill of PSTC-SDS, Tandag City for December 2025 (11/24-12/23/25)</t>
  </si>
  <si>
    <t>005</t>
  </si>
  <si>
    <t>0006</t>
  </si>
  <si>
    <t>Fount Royal Water Processing Center</t>
  </si>
  <si>
    <t>Potable water consumption of Regional Office for December 2025</t>
  </si>
  <si>
    <t>006</t>
  </si>
  <si>
    <t>0007</t>
  </si>
  <si>
    <t>PLDT, Inc.</t>
  </si>
  <si>
    <t>Internet bill of PSTC-SDN for January 2026 (1/3-2/2/26) with acct #0229865013</t>
  </si>
  <si>
    <t>007</t>
  </si>
  <si>
    <t>0008</t>
  </si>
  <si>
    <t>01 ORD</t>
  </si>
  <si>
    <t>Internet bill of PSTC-ADS for January 2026 (1/1-31/26)</t>
  </si>
  <si>
    <t>008</t>
  </si>
  <si>
    <t>50205030/ 50205020</t>
  </si>
  <si>
    <t>12</t>
  </si>
  <si>
    <t>3266</t>
  </si>
  <si>
    <t>LBP</t>
  </si>
  <si>
    <t>Prior Year Payables</t>
  </si>
  <si>
    <t>Hazard pay of chemist and chemical technician for July-December 2025</t>
  </si>
  <si>
    <t>3298</t>
  </si>
  <si>
    <t>Hazard pay of DOST personnel for December 2025</t>
  </si>
  <si>
    <t>3316</t>
  </si>
  <si>
    <t>Subsistence and laundry allowance of DOST personnel for December 2025</t>
  </si>
  <si>
    <t>50102050/ 50102060</t>
  </si>
  <si>
    <t>3317</t>
  </si>
  <si>
    <t>Performance-based bonus differential of DOST personnel for CY 2023</t>
  </si>
  <si>
    <t>3300</t>
  </si>
  <si>
    <t>LBP fao COS Personnel-A DN</t>
  </si>
  <si>
    <t>CEST ADN ADVANCE</t>
  </si>
  <si>
    <t>Services of COS staff for A DN for 12/16-31/25</t>
  </si>
  <si>
    <t>SSCP-ADN ADVANCE</t>
  </si>
  <si>
    <t>GIA-Mineral Hub</t>
  </si>
  <si>
    <t>3301</t>
  </si>
  <si>
    <t>LBP fao COS Personnel-FAS</t>
  </si>
  <si>
    <t>01-99 COA</t>
  </si>
  <si>
    <t>Services of COS staff for FAS for 12/16-31/25</t>
  </si>
  <si>
    <t>01-02 FAS</t>
  </si>
  <si>
    <t>GIA-IGNITE</t>
  </si>
  <si>
    <t>GIA-RRDIC</t>
  </si>
  <si>
    <t>3303</t>
  </si>
  <si>
    <t>LBP fao COS Personnel-FOD</t>
  </si>
  <si>
    <t>01-01 FOD</t>
  </si>
  <si>
    <t>Services of COS staff for FOD for 12/16-31/25</t>
  </si>
  <si>
    <t>01-01-06 SP</t>
  </si>
  <si>
    <t>GIA-Promotions</t>
  </si>
  <si>
    <t>3305</t>
  </si>
  <si>
    <t>LBP fao COS Personnel-PDI</t>
  </si>
  <si>
    <t>01-01-05 PDI</t>
  </si>
  <si>
    <t>Services of COS staff for PDI for 12/16-3125</t>
  </si>
  <si>
    <t>CEST PDI STRIVE</t>
  </si>
  <si>
    <t>SSCP-PDI OASIS</t>
  </si>
  <si>
    <t>3308</t>
  </si>
  <si>
    <t>LBP fao COS Personnel-RSTL &amp; RML</t>
  </si>
  <si>
    <t>Regular-Onelab</t>
  </si>
  <si>
    <t>Services of COS staff for RSTL &amp; RML for 12/16-31/25</t>
  </si>
  <si>
    <t>3309</t>
  </si>
  <si>
    <t>LBP fao COS Personnel-TSS</t>
  </si>
  <si>
    <t>GIA-Makerspaces</t>
  </si>
  <si>
    <t>Services of COS staff for TSS for 12/16-31/25</t>
  </si>
  <si>
    <t>GIA-SPARK</t>
  </si>
  <si>
    <t>0009</t>
  </si>
  <si>
    <t>Regular PS</t>
  </si>
  <si>
    <t>Salaries of DOST RO Personnel for the period January 1-31, 2026</t>
  </si>
  <si>
    <t>009</t>
  </si>
  <si>
    <t>50101010/ 50102010</t>
  </si>
  <si>
    <t>3304</t>
  </si>
  <si>
    <t>LBP fao COS Personnel-SDN</t>
  </si>
  <si>
    <t>Services of COS staff for SDN for 12/16-31/25</t>
  </si>
  <si>
    <t>SSCP-SDN  SIDLAK</t>
  </si>
  <si>
    <t>3302</t>
  </si>
  <si>
    <t>LBP fao COS Personnel-ORD</t>
  </si>
  <si>
    <t>Services of COS staff for ORD for 12/16-31/25</t>
  </si>
  <si>
    <t>GIA-GRIND</t>
  </si>
  <si>
    <t>GIA-RIIC</t>
  </si>
  <si>
    <t>GIA-MIS-ICT</t>
  </si>
  <si>
    <t>GIA-iHUBS</t>
  </si>
  <si>
    <t>GIA-FIC FORWARD</t>
  </si>
  <si>
    <t>GIA-ASCEND</t>
  </si>
  <si>
    <t>NTA No. 2026-01-0001 (DC)</t>
  </si>
  <si>
    <t>Release of funds for the conduct of the "2021-2022 Survey of R&amp;D Expenditures and Human Resources in Government, Higher Education and Private Non-Profit Institutions: Balance/Remaining Survey Funds for DOST-CARAGA"."</t>
  </si>
  <si>
    <t>0012</t>
  </si>
  <si>
    <t>Longevity pay of DOST Personnel for January 1-31, 2025</t>
  </si>
  <si>
    <t>010</t>
  </si>
  <si>
    <t>0013</t>
  </si>
  <si>
    <t>BCWD</t>
  </si>
  <si>
    <t>Water bill of DOST Regional Office for December 2025</t>
  </si>
  <si>
    <t>011</t>
  </si>
  <si>
    <t>0014</t>
  </si>
  <si>
    <t>Regular MOOE (Onelab)</t>
  </si>
  <si>
    <t>Water bill of DOST Caraga Mineral Laboratory for December 2025</t>
  </si>
  <si>
    <t>012</t>
  </si>
  <si>
    <t>0015</t>
  </si>
  <si>
    <t>Dinagat Island Electric Cooperative, Inc.</t>
  </si>
  <si>
    <t>Electric bill of PSTO-PDI for December 2025</t>
  </si>
  <si>
    <t>013</t>
  </si>
  <si>
    <t>0016</t>
  </si>
  <si>
    <t>Roberto Zandro J. Olaguer</t>
  </si>
  <si>
    <t>Reimb of water bill for PSTO-PDI for December 2025</t>
  </si>
  <si>
    <t>014</t>
  </si>
  <si>
    <t>0017</t>
  </si>
  <si>
    <t>Reimb of communication expenses for January 2026</t>
  </si>
  <si>
    <t>015</t>
  </si>
  <si>
    <t>0018</t>
  </si>
  <si>
    <t>Marites M. Apolinaria</t>
  </si>
  <si>
    <t>016</t>
  </si>
  <si>
    <t>0019</t>
  </si>
  <si>
    <t>Reimb of internet bill for PSTO-PDI for January 2026 (1/4-2/4/26)</t>
  </si>
  <si>
    <t>017</t>
  </si>
  <si>
    <t>0020</t>
  </si>
  <si>
    <t>G-Fuel Commodity Distribution, Inc.</t>
  </si>
  <si>
    <t>CEST SDN  SIDLAK (Project GRANDE)</t>
  </si>
  <si>
    <t>Diesel consumption of vehicle Crosswind SJJ 504 for December 1-31, 2025</t>
  </si>
  <si>
    <t>018</t>
  </si>
  <si>
    <t>3306</t>
  </si>
  <si>
    <t>LBP fao COS Personnel-SDS</t>
  </si>
  <si>
    <t>Services of COS staff for SDS for 12/16-31/25</t>
  </si>
  <si>
    <t>CEST SDS Project FARM</t>
  </si>
  <si>
    <t>SSCP-SDS SMART Tandag</t>
  </si>
  <si>
    <t>0022</t>
  </si>
  <si>
    <t>GSIS</t>
  </si>
  <si>
    <t>Insurance of vehicle Isuzu Dmax 100102-1 for March 1, 2026-March 1, 2027</t>
  </si>
  <si>
    <t>019</t>
  </si>
  <si>
    <t>0021</t>
  </si>
  <si>
    <t>Univ Gas Refilling Station</t>
  </si>
  <si>
    <t>Diesel consumption of vehicle SJJ 504,Travis D1V531, MUX D1U687, DOK 100102 and S3F378 for the period 12/16-31/25</t>
  </si>
  <si>
    <t>020</t>
  </si>
  <si>
    <t>3307</t>
  </si>
  <si>
    <t>LBP fao COS Personnel-ADS</t>
  </si>
  <si>
    <t>01-01-02 ADS</t>
  </si>
  <si>
    <t>Services of COS staff for ADS for 12/16-31/25</t>
  </si>
  <si>
    <t>CEST ADS Project CLEANEST</t>
  </si>
  <si>
    <t>GIA-iSTART</t>
  </si>
  <si>
    <t>GIA-FASST CARAGA</t>
  </si>
  <si>
    <t>0023</t>
  </si>
  <si>
    <t>Aselco</t>
  </si>
  <si>
    <t>Electric bill of PSTC-ADS  for December 2025</t>
  </si>
  <si>
    <t>021</t>
  </si>
  <si>
    <t>0024</t>
  </si>
  <si>
    <t>JRS Business Corporation</t>
  </si>
  <si>
    <t xml:space="preserve">Mailing expenses of DOST Regional Office for December 1-31, 2025 </t>
  </si>
  <si>
    <t>022</t>
  </si>
  <si>
    <t>0010</t>
  </si>
  <si>
    <t>Salaries of DOST PSTCs Personnel for the period January 1-31, 2026</t>
  </si>
  <si>
    <t>023</t>
  </si>
  <si>
    <t>0025</t>
  </si>
  <si>
    <t>Joel M. Grana</t>
  </si>
  <si>
    <t>024</t>
  </si>
  <si>
    <t>0026</t>
  </si>
  <si>
    <t>Caressa Leanne V. Lim</t>
  </si>
  <si>
    <t>025</t>
  </si>
  <si>
    <t>0027</t>
  </si>
  <si>
    <t>Liezel C. Laure</t>
  </si>
  <si>
    <t>Replenishment of petty cash fund for Regional Office</t>
  </si>
  <si>
    <t>026</t>
  </si>
  <si>
    <t>0028</t>
  </si>
  <si>
    <t>Meriam B. Bouquia</t>
  </si>
  <si>
    <t>Replenishment of petty cash fund for PSTO-A DN</t>
  </si>
  <si>
    <t>027</t>
  </si>
  <si>
    <t>0029</t>
  </si>
  <si>
    <t>Karter O. Ronquillo</t>
  </si>
  <si>
    <t>Replenishment of petty cash fund for PSTO-SDS sub office Bislig City</t>
  </si>
  <si>
    <t>028</t>
  </si>
  <si>
    <t>0030</t>
  </si>
  <si>
    <t>Mary Grace M. Sabuero</t>
  </si>
  <si>
    <t>Replenishment of petty cash fund for PSTO-SDN</t>
  </si>
  <si>
    <t>029</t>
  </si>
  <si>
    <t>0031</t>
  </si>
  <si>
    <t>Replenishment of petty cash fund for PSTO-SDS Tandag City</t>
  </si>
  <si>
    <t>030</t>
  </si>
  <si>
    <t>0032</t>
  </si>
  <si>
    <t>Replenishment of petty cash fund for PSTO-PDI</t>
  </si>
  <si>
    <t>031</t>
  </si>
  <si>
    <t>HDMF</t>
  </si>
  <si>
    <t>To remit HDMF MPL Repayment of DOST Caraga personnel-January 2026</t>
  </si>
  <si>
    <t>032</t>
  </si>
  <si>
    <t>To remit LBP-ESL Repayment of DOST Caraga-January 2026</t>
  </si>
  <si>
    <t>033</t>
  </si>
  <si>
    <t>SIKAT</t>
  </si>
  <si>
    <t>To remit SIKAT Mutual Death Aid Contribution- January 2026 (Naboya)</t>
  </si>
  <si>
    <t>034</t>
  </si>
  <si>
    <t>0034</t>
  </si>
  <si>
    <t>To remit GSIS Contribution (PS/GS) and loan repayments- January 2026</t>
  </si>
  <si>
    <t>035</t>
  </si>
  <si>
    <t>20201020/ 50103010/ 50103040</t>
  </si>
  <si>
    <t>0035</t>
  </si>
  <si>
    <t>Remittance of HDMF Contribution (GS) of DOST Caraga Personnel for January 2026</t>
  </si>
  <si>
    <t>036</t>
  </si>
  <si>
    <t>0036</t>
  </si>
  <si>
    <t>PHIC</t>
  </si>
  <si>
    <t>Remittance of PHIC Contribution (GS) of DOST Caraga Personnel for January 2026</t>
  </si>
  <si>
    <t>037</t>
  </si>
  <si>
    <t>20201040/ 50103030</t>
  </si>
  <si>
    <t>0037</t>
  </si>
  <si>
    <t>Christine A. Buyan</t>
  </si>
  <si>
    <t>Replenishment of petty cash fund for PSTO-ADS</t>
  </si>
  <si>
    <t>038</t>
  </si>
  <si>
    <t>3314</t>
  </si>
  <si>
    <t>Danielle Mae P. Brigoli</t>
  </si>
  <si>
    <t>Services for December 16-31, 2025</t>
  </si>
  <si>
    <t>3353</t>
  </si>
  <si>
    <t>0038</t>
  </si>
  <si>
    <t xml:space="preserve">Ricardo N. Varela </t>
  </si>
  <si>
    <t>039</t>
  </si>
  <si>
    <t>MMC half-day on 1/21/26</t>
  </si>
  <si>
    <t>0039</t>
  </si>
  <si>
    <t>PLDT Inc.</t>
  </si>
  <si>
    <t>Internet bill of Regional Office for January 2026 with acct  #0343933053 (1/17-2/16/26)</t>
  </si>
  <si>
    <t>040</t>
  </si>
  <si>
    <t>0040</t>
  </si>
  <si>
    <t>Internet bill of Regional Office for January 2026 with acct  #0343852622 (1/17-2/16/26)</t>
  </si>
  <si>
    <t>041</t>
  </si>
  <si>
    <t>0041</t>
  </si>
  <si>
    <t>Internet bill of Regional Office for January 2026 with acct # 0343354940 (1/17-2/16/26)</t>
  </si>
  <si>
    <t>042</t>
  </si>
  <si>
    <t>Payment for the salaries of DOST PSTO Personnel- January 16-31, 2026</t>
  </si>
  <si>
    <t>043</t>
  </si>
  <si>
    <t>Payment for the salaries of DOST RO Personnel- January 16-31, 2026</t>
  </si>
  <si>
    <t>044</t>
  </si>
  <si>
    <t>0045</t>
  </si>
  <si>
    <t>Internet bill of PSTC-SDS sub-office Bislig City for the period 1/17-2/16/26 with acct# 0269856998</t>
  </si>
  <si>
    <t>045</t>
  </si>
  <si>
    <t>NTA No. 2026-01-0038 (DC)</t>
  </si>
  <si>
    <t>Release of funds for the project titled "Techy Business Para Sa Makabagong Bayani: Creating OFW Technopreneurs Through the Nationwide Implementation of the IFWD PH Program"</t>
  </si>
  <si>
    <t>NTA No. 2026-01-0023 (DC)</t>
  </si>
  <si>
    <t>Release of funds for the project titled "Project 2. SARAI Regional Hubs" under the program "SARAI CENTRALIZED NATIONAL HUB FOR REGIONAL OPERATIONS (SARAI CENTRO)</t>
  </si>
  <si>
    <t>0048</t>
  </si>
  <si>
    <t>Electric bill of DOST-Caraga Regional Office for January 2026</t>
  </si>
  <si>
    <t>046</t>
  </si>
  <si>
    <t>0049</t>
  </si>
  <si>
    <t>047</t>
  </si>
  <si>
    <t>0050</t>
  </si>
  <si>
    <t>Land Transportation Office</t>
  </si>
  <si>
    <t>Renewal of registration for vehicle Isuzu Dmax 100102 for CY 2026</t>
  </si>
  <si>
    <t>048</t>
  </si>
  <si>
    <t>0051</t>
  </si>
  <si>
    <t>049</t>
  </si>
  <si>
    <t>0053</t>
  </si>
  <si>
    <t>Toniete Space Rental Services</t>
  </si>
  <si>
    <t>Office space rental of PSTO-PDI for January 2026</t>
  </si>
  <si>
    <t>050</t>
  </si>
  <si>
    <t>0054</t>
  </si>
  <si>
    <t>MOOE Continuing</t>
  </si>
  <si>
    <t>CA-traveling expenses during the conduct of industry 4.0 training program on 2/1-8/26 in Manila</t>
  </si>
  <si>
    <t>CA</t>
  </si>
  <si>
    <t>051</t>
  </si>
  <si>
    <t>0055</t>
  </si>
  <si>
    <t>Reimb of TE during the conduct of ISO 9001:2015 internal quality audit last 1/12-14/26 in Butuan City</t>
  </si>
  <si>
    <t>052</t>
  </si>
  <si>
    <t>0047</t>
  </si>
  <si>
    <t>Procurement Service</t>
  </si>
  <si>
    <t>GIA-NOVA</t>
  </si>
  <si>
    <t>Various supplies (15boxes staple wire, etc) to be used for the implementation of GIA project NOVA</t>
  </si>
  <si>
    <t>053</t>
  </si>
  <si>
    <t>0044</t>
  </si>
  <si>
    <t>GIA-MAG-HANDA</t>
  </si>
  <si>
    <t>Various supplies (10reams paper, legal, etc) to be used for the implementation of Project MAG-HANDA</t>
  </si>
  <si>
    <t>054</t>
  </si>
  <si>
    <t>0056</t>
  </si>
  <si>
    <t>Services of COS staff for FAS for 1/5-15/26</t>
  </si>
  <si>
    <t>055</t>
  </si>
  <si>
    <t>0057</t>
  </si>
  <si>
    <t>De La Salle University, Inc.</t>
  </si>
  <si>
    <t>Training fee of the 5 DOST personnel (KORonquillo/JJDejarme/MBBouquia/NMAjoc/MKPDelarmente) during the conduct of industry 4.0 training program on 2/1-8/26 in Manila</t>
  </si>
  <si>
    <t>056</t>
  </si>
  <si>
    <t>0059</t>
  </si>
  <si>
    <t>GIA-InnoMines</t>
  </si>
  <si>
    <t>Electric bill of DOST-Gold Copper Processing Plant for January 2026</t>
  </si>
  <si>
    <t>057</t>
  </si>
  <si>
    <t>PS TAX</t>
  </si>
  <si>
    <t>Cashier Balance</t>
  </si>
  <si>
    <t>PS ACCTG</t>
  </si>
  <si>
    <t>Disb per SL</t>
  </si>
  <si>
    <t>JANUARY DUE AND DEMANDABLE OBLIGATIONS</t>
  </si>
  <si>
    <t>TOTAL PS ACCTG</t>
  </si>
  <si>
    <t>PS BUDGET</t>
  </si>
  <si>
    <t>0033</t>
  </si>
  <si>
    <t>A.M. Enterprises</t>
  </si>
  <si>
    <t>PD ON 2/26</t>
  </si>
  <si>
    <t>Labor and materials for the repair of Toyota Innova (check up and installation of spare parts)</t>
  </si>
  <si>
    <t>DD</t>
  </si>
  <si>
    <t>058</t>
  </si>
  <si>
    <t>01-000285</t>
  </si>
  <si>
    <t>0046</t>
  </si>
  <si>
    <t>Caraga Chainsaw Supply/ LIEZEL C LAURE</t>
  </si>
  <si>
    <t>Labor and materials for the repair of defective grasscutter for Regional Office</t>
  </si>
  <si>
    <t>067</t>
  </si>
  <si>
    <t>01-000286</t>
  </si>
  <si>
    <t>PRIOR YEAR NYDD BECAME DD ON JANUARY 2026</t>
  </si>
  <si>
    <t>02</t>
  </si>
  <si>
    <t>0257</t>
  </si>
  <si>
    <t>Converge ICT Solutions, Inc.</t>
  </si>
  <si>
    <t>2025 NYDD</t>
  </si>
  <si>
    <t>1lot renewal of public network service subscription for the project "DOST TECHTALK: A Virtual Assistant for Technology Adoption Business Innovation"</t>
  </si>
  <si>
    <t>059</t>
  </si>
  <si>
    <t>01-000287</t>
  </si>
  <si>
    <t>2534</t>
  </si>
  <si>
    <t>Joelmar Trading</t>
  </si>
  <si>
    <t>1bot polyseed for chemical laboratory use</t>
  </si>
  <si>
    <t>060</t>
  </si>
  <si>
    <t>01-000288</t>
  </si>
  <si>
    <t>2567</t>
  </si>
  <si>
    <t>LG Supplies and General merchandise</t>
  </si>
  <si>
    <t>Green Wave</t>
  </si>
  <si>
    <t xml:space="preserve">Various semi-expandable items (1unit angle grinder, etc) to be used for the implementation of circular economy hub for the project "Generating Resilient, Ecological, and Efficient Waste Valorization through Community-Driven Circular Economy and Technology (Green Wave) under the program, Circular Innovation, Resource Conservation and Utilization for Leveraging Advancement in Technology and Enterprise Towards Sustainability (CIRCULATES)" </t>
  </si>
  <si>
    <t>061</t>
  </si>
  <si>
    <t>10405990/ 10406010</t>
  </si>
  <si>
    <t>01-000289/ 290</t>
  </si>
  <si>
    <t>2718</t>
  </si>
  <si>
    <t xml:space="preserve">2units moisture meter for the implementation of SARAI plus project-agritech Caraga </t>
  </si>
  <si>
    <t>062</t>
  </si>
  <si>
    <t>01-000291/ 292</t>
  </si>
  <si>
    <t>2796</t>
  </si>
  <si>
    <t>Biologic Systems Computer Center</t>
  </si>
  <si>
    <t>6units office chair for the implementation of GIA project "Smart Innovation Driving Local Advancement and Key Solutions in Surigao del Norte (SIDLAK)"</t>
  </si>
  <si>
    <t>063</t>
  </si>
  <si>
    <t>01-000293/ 294</t>
  </si>
  <si>
    <t>2941</t>
  </si>
  <si>
    <t>Datalan Communication Services</t>
  </si>
  <si>
    <t>1unit lighweight laptop and 1pc random access memory to be used for advanced manufacturing center</t>
  </si>
  <si>
    <t>064</t>
  </si>
  <si>
    <t>10405030/ 50203010</t>
  </si>
  <si>
    <t>01-000295/296</t>
  </si>
  <si>
    <t>3191</t>
  </si>
  <si>
    <t>North-Min Auto Dealership, Inc.</t>
  </si>
  <si>
    <t>Labor and materials for the repair of vehicle Dmax, Isuzu Pick-up for Regional Office (replacement of brake pads)</t>
  </si>
  <si>
    <t>065</t>
  </si>
  <si>
    <t>01-000297</t>
  </si>
  <si>
    <t>3054</t>
  </si>
  <si>
    <t>Startech Computer Sales Center</t>
  </si>
  <si>
    <t>1unit laptop and 2pcs laser pointer wireless presentation remote for PSTO-SDN</t>
  </si>
  <si>
    <t>066</t>
  </si>
  <si>
    <t>01-000298/299</t>
  </si>
  <si>
    <t>RCI</t>
  </si>
  <si>
    <t>TOTAL TRA</t>
  </si>
  <si>
    <t>JANUARY NOT YET DUE AND DEMANDABLE OBLIGATIONS</t>
  </si>
  <si>
    <t>0011</t>
  </si>
  <si>
    <t>Allan F. Ginoo</t>
  </si>
  <si>
    <t>pd on 2/26</t>
  </si>
  <si>
    <t>Labor for the repair of gutter and ceiling of MIS server rooms, RSTL micro laboratory and RML calibration laboratory for 5 days</t>
  </si>
  <si>
    <t>NY</t>
  </si>
  <si>
    <t>0042</t>
  </si>
  <si>
    <t>Lime and Zest Kitchen</t>
  </si>
  <si>
    <t>Lease of venue with meals (20pax AM/PM snacks/lunch) for the conduct of 1st management review committee meeting on 1/23/26 in Butuan City</t>
  </si>
  <si>
    <t>0043</t>
  </si>
  <si>
    <t>Labor and materials for the repair of desktop computer CPU with property #RO13-MITHI-2195 for FAS (CHidalgo)</t>
  </si>
  <si>
    <t>0052</t>
  </si>
  <si>
    <t>Guill-bern Corporation</t>
  </si>
  <si>
    <t>1unit ethos up high performance microwave digestion system for RSTL</t>
  </si>
  <si>
    <t>0058</t>
  </si>
  <si>
    <t>North-Min Auto Dealership, Inc</t>
  </si>
  <si>
    <t>pd on 3/26</t>
  </si>
  <si>
    <t>Labor and materials for preventive maintenance schedule of vehicle Isuzu Pick Up SEB 203 (PMS-light)</t>
  </si>
  <si>
    <t>ACCOUNTING</t>
  </si>
  <si>
    <t>BUDGET</t>
  </si>
  <si>
    <t>AP TAX</t>
  </si>
  <si>
    <t>Subtotal</t>
  </si>
  <si>
    <t>AP</t>
  </si>
  <si>
    <t>RLIP</t>
  </si>
  <si>
    <t>RLIP (AP)</t>
  </si>
  <si>
    <t>AS OF 01.31.26</t>
  </si>
  <si>
    <t>PS (Paid AP)</t>
  </si>
  <si>
    <t>PS (AP)</t>
  </si>
  <si>
    <t>RLIP (Paid AP)</t>
  </si>
  <si>
    <t>ACCTG</t>
  </si>
  <si>
    <t>3:55</t>
  </si>
  <si>
    <t>4:05</t>
  </si>
  <si>
    <t>2:45</t>
  </si>
  <si>
    <t>2:20</t>
  </si>
  <si>
    <t>1:25</t>
  </si>
  <si>
    <t>2:00</t>
  </si>
  <si>
    <t>1:13</t>
  </si>
  <si>
    <t>2:22</t>
  </si>
  <si>
    <t>3:05</t>
  </si>
  <si>
    <t>JANUARY 2026</t>
  </si>
  <si>
    <t>REGULAR MOOE</t>
  </si>
  <si>
    <t>DISBURSED</t>
  </si>
  <si>
    <t>AP/NYDD</t>
  </si>
  <si>
    <t>TOTAL</t>
  </si>
  <si>
    <t>CHECKING</t>
  </si>
  <si>
    <t>PAID AP/NYDD in January</t>
  </si>
  <si>
    <t>TAX PRIOR NYDD BECAME DD ON JANUARY</t>
  </si>
  <si>
    <t>AS OF JANUARY 2026</t>
  </si>
  <si>
    <t>Allotment / MCP</t>
  </si>
  <si>
    <t>Utilization as of 01/31/26</t>
  </si>
  <si>
    <t>Adjustments by BO</t>
  </si>
  <si>
    <t>LGIA-InnoMines</t>
  </si>
  <si>
    <t>LGIA- NOVA</t>
  </si>
  <si>
    <t>LGIA-MAG-HANDA</t>
  </si>
  <si>
    <t>LGIA-HIMO</t>
  </si>
  <si>
    <t>1:45</t>
  </si>
  <si>
    <t>CEST</t>
  </si>
  <si>
    <t>LGIA</t>
  </si>
  <si>
    <t>SSCP</t>
  </si>
  <si>
    <t>PAID AP/NYDD in JANUARY</t>
  </si>
  <si>
    <t>Utilization as of 1/31/26</t>
  </si>
  <si>
    <t>Adjustments by BO JANUARY 2026</t>
  </si>
  <si>
    <t>Net Utilization as of 1/31/26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</si>
</sst>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3" formatCode="_(* #,##0.00_);_(* \(#,##0.00\);_(* &quot;-&quot;??_);_(@_)"/>
    <numFmt numFmtId="164" formatCode="[$-409]d\-mmm"/>
    <numFmt numFmtId="165" formatCode="_-* #,##0.00_-;\-* #,##0.00_-;_-* &quot;-&quot;??_-;_-@"/>
  </numFmts>
  <fonts count="19" x14ac:knownFonts="1"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sz val="8"/>
      <color theme="1"/>
      <name val="Arial"/>
      <family val="2"/>
    </font>
    <font>
      <u/>
      <sz val="10"/>
      <color theme="1"/>
      <name val="Arial"/>
      <family val="2"/>
    </font>
    <font>
      <b/>
      <sz val="10"/>
      <color theme="1"/>
      <name val="Arial"/>
      <family val="2"/>
    </font>
    <font>
      <sz val="9"/>
      <color theme="1"/>
      <name val="Century Gothic"/>
      <family val="2"/>
    </font>
    <font>
      <sz val="11"/>
      <name val="Aptos Narrow"/>
      <family val="2"/>
    </font>
    <font>
      <sz val="10"/>
      <color theme="1"/>
      <name val="Century Gothic"/>
      <family val="2"/>
    </font>
    <font>
      <b/>
      <u/>
      <sz val="10"/>
      <color theme="1"/>
      <name val="Century Gothic"/>
      <family val="2"/>
    </font>
    <font>
      <b/>
      <sz val="10"/>
      <color theme="1"/>
      <name val="Century Gothic"/>
      <family val="2"/>
    </font>
    <font>
      <sz val="9"/>
      <color theme="1"/>
      <name val="Arial"/>
      <family val="2"/>
    </font>
    <font>
      <sz val="10"/>
      <color rgb="FFFF0000"/>
      <name val="Arial"/>
      <family val="2"/>
    </font>
    <font>
      <sz val="11"/>
      <color theme="1"/>
      <name val="Arial"/>
      <family val="2"/>
    </font>
    <font>
      <i/>
      <sz val="10"/>
      <color theme="1"/>
      <name val="Arial"/>
      <family val="2"/>
    </font>
    <font>
      <sz val="11"/>
      <color theme="1"/>
      <name val="Aptos Narrow"/>
      <family val="2"/>
    </font>
    <font>
      <b/>
      <sz val="11"/>
      <color theme="1"/>
      <name val="Aptos Narrow"/>
      <family val="2"/>
    </font>
    <font>
      <sz val="8"/>
      <color rgb="FFC00000"/>
      <name val="Arial"/>
      <family val="2"/>
    </font>
    <font>
      <sz val="10"/>
      <color rgb="FFC00000"/>
      <name val="Arial"/>
      <family val="2"/>
    </font>
    <font>
      <b/>
      <sz val="8"/>
      <color theme="1"/>
      <name val="Arial"/>
      <family val="2"/>
    </font>
  </fonts>
  <fills count="18">
    <fill>
      <patternFill patternType="none"/>
    </fill>
    <fill>
      <patternFill patternType="gray125"/>
    </fill>
    <fill>
      <patternFill patternType="solid">
        <fgColor rgb="FFCC99FF"/>
        <bgColor rgb="FFCC99FF"/>
      </patternFill>
    </fill>
    <fill>
      <patternFill patternType="solid">
        <fgColor rgb="FFFFC000"/>
        <bgColor rgb="FFFFC000"/>
      </patternFill>
    </fill>
    <fill>
      <patternFill patternType="solid">
        <fgColor rgb="FFC5E0B3"/>
        <bgColor rgb="FFC5E0B3"/>
      </patternFill>
    </fill>
    <fill>
      <patternFill patternType="solid">
        <fgColor rgb="FFF4B083"/>
        <bgColor rgb="FFF4B083"/>
      </patternFill>
    </fill>
    <fill>
      <patternFill patternType="solid">
        <fgColor rgb="FF9966FF"/>
        <bgColor rgb="FF9966FF"/>
      </patternFill>
    </fill>
    <fill>
      <patternFill patternType="solid">
        <fgColor rgb="FF92D050"/>
        <bgColor rgb="FF92D050"/>
      </patternFill>
    </fill>
    <fill>
      <patternFill patternType="solid">
        <fgColor rgb="FFFF99FF"/>
        <bgColor rgb="FFFF99FF"/>
      </patternFill>
    </fill>
    <fill>
      <patternFill patternType="solid">
        <fgColor rgb="FFFFFF00"/>
        <bgColor rgb="FFFFFF00"/>
      </patternFill>
    </fill>
    <fill>
      <patternFill patternType="solid">
        <fgColor rgb="FFCCCCFF"/>
        <bgColor rgb="FFCCCCFF"/>
      </patternFill>
    </fill>
    <fill>
      <patternFill patternType="solid">
        <fgColor rgb="FFD8D8D8"/>
        <bgColor rgb="FFD8D8D8"/>
      </patternFill>
    </fill>
    <fill>
      <patternFill patternType="solid">
        <fgColor rgb="FFE7E6E6"/>
        <bgColor rgb="FFE7E6E6"/>
      </patternFill>
    </fill>
    <fill>
      <patternFill patternType="solid">
        <fgColor rgb="FFDEEAF6"/>
        <bgColor rgb="FFDEEAF6"/>
      </patternFill>
    </fill>
    <fill>
      <patternFill patternType="solid">
        <fgColor rgb="FFFEF2CB"/>
        <bgColor rgb="FFFEF2CB"/>
      </patternFill>
    </fill>
    <fill>
      <patternFill patternType="solid">
        <fgColor rgb="FFD9E2F3"/>
        <bgColor rgb="FFD9E2F3"/>
      </patternFill>
    </fill>
    <fill>
      <patternFill patternType="solid">
        <fgColor rgb="FFD0CECE"/>
        <bgColor rgb="FFD0CECE"/>
      </patternFill>
    </fill>
    <fill>
      <patternFill patternType="solid">
        <fgColor rgb="FFF7CAAC"/>
        <bgColor rgb="FFF7CAAC"/>
      </patternFill>
    </fill>
  </fills>
  <borders count="36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/>
      <right/>
      <top style="medium">
        <color rgb="FF000000"/>
      </top>
      <bottom/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/>
      <top/>
      <bottom/>
      <diagonal/>
    </border>
    <border>
      <left/>
      <right style="medium">
        <color rgb="FF000000"/>
      </right>
      <top/>
      <bottom/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/>
      <right/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medium">
        <color rgb="FF000000"/>
      </left>
      <right/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/>
      <bottom style="thin">
        <color rgb="FF000000"/>
      </bottom>
      <diagonal/>
    </border>
    <border>
      <left style="medium">
        <color rgb="FF000000"/>
      </left>
      <right/>
      <top style="thin">
        <color rgb="FF000000"/>
      </top>
      <bottom style="medium">
        <color rgb="FF000000"/>
      </bottom>
      <diagonal/>
    </border>
    <border>
      <left/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/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 style="hair">
        <color rgb="FF000000"/>
      </left>
      <right style="hair">
        <color rgb="FF000000"/>
      </right>
      <top style="hair">
        <color rgb="FF000000"/>
      </top>
      <bottom style="hair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/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</borders>
  <cellStyleXfs count="1">
    <xf numFmtId="0" fontId="0" fillId="0" borderId="0"/>
  </cellStyleXfs>
  <cellXfs count="201">
    <xf numFmtId="0" fontId="0" fillId="0" borderId="0" xfId="0"/>
    <xf numFmtId="0" fontId="1" fillId="0" borderId="0" xfId="0" applyFont="1" applyAlignment="1">
      <alignment horizontal="left"/>
    </xf>
    <xf numFmtId="43" fontId="2" fillId="0" borderId="0" xfId="0" applyNumberFormat="1" applyFont="1"/>
    <xf numFmtId="43" fontId="1" fillId="0" borderId="0" xfId="0" applyNumberFormat="1" applyFont="1" applyAlignment="1">
      <alignment horizontal="center"/>
    </xf>
    <xf numFmtId="0" fontId="1" fillId="0" borderId="0" xfId="0" applyFont="1"/>
    <xf numFmtId="0" fontId="1" fillId="0" borderId="0" xfId="0" applyFont="1" applyAlignment="1">
      <alignment horizontal="center" vertical="center"/>
    </xf>
    <xf numFmtId="43" fontId="1" fillId="0" borderId="0" xfId="0" applyNumberFormat="1" applyFont="1"/>
    <xf numFmtId="43" fontId="1" fillId="2" borderId="1" xfId="0" applyNumberFormat="1" applyFont="1" applyFill="1" applyBorder="1"/>
    <xf numFmtId="164" fontId="1" fillId="0" borderId="0" xfId="0" applyNumberFormat="1" applyFont="1" applyAlignment="1">
      <alignment horizontal="right"/>
    </xf>
    <xf numFmtId="49" fontId="1" fillId="0" borderId="0" xfId="0" applyNumberFormat="1" applyFont="1" applyAlignment="1">
      <alignment horizontal="center"/>
    </xf>
    <xf numFmtId="49" fontId="1" fillId="0" borderId="0" xfId="0" applyNumberFormat="1" applyFont="1" applyAlignment="1">
      <alignment horizontal="right"/>
    </xf>
    <xf numFmtId="165" fontId="3" fillId="0" borderId="0" xfId="0" applyNumberFormat="1" applyFont="1"/>
    <xf numFmtId="0" fontId="4" fillId="0" borderId="2" xfId="0" applyFont="1" applyBorder="1" applyAlignment="1">
      <alignment horizontal="left"/>
    </xf>
    <xf numFmtId="0" fontId="1" fillId="0" borderId="3" xfId="0" applyFont="1" applyBorder="1"/>
    <xf numFmtId="20" fontId="5" fillId="0" borderId="0" xfId="0" applyNumberFormat="1" applyFont="1" applyAlignment="1">
      <alignment horizontal="center"/>
    </xf>
    <xf numFmtId="0" fontId="1" fillId="3" borderId="4" xfId="0" applyFont="1" applyFill="1" applyBorder="1"/>
    <xf numFmtId="43" fontId="1" fillId="4" borderId="1" xfId="0" applyNumberFormat="1" applyFont="1" applyFill="1" applyBorder="1"/>
    <xf numFmtId="165" fontId="1" fillId="0" borderId="0" xfId="0" applyNumberFormat="1" applyFont="1"/>
    <xf numFmtId="0" fontId="2" fillId="5" borderId="0" xfId="0" applyFont="1" applyFill="1" applyAlignment="1">
      <alignment horizontal="left"/>
    </xf>
    <xf numFmtId="20" fontId="1" fillId="0" borderId="7" xfId="0" applyNumberFormat="1" applyFont="1" applyBorder="1"/>
    <xf numFmtId="16" fontId="5" fillId="0" borderId="0" xfId="0" applyNumberFormat="1" applyFont="1" applyAlignment="1">
      <alignment horizontal="center"/>
    </xf>
    <xf numFmtId="0" fontId="1" fillId="3" borderId="8" xfId="0" applyFont="1" applyFill="1" applyBorder="1"/>
    <xf numFmtId="0" fontId="1" fillId="0" borderId="6" xfId="0" applyFont="1" applyBorder="1" applyAlignment="1">
      <alignment horizontal="center"/>
    </xf>
    <xf numFmtId="20" fontId="5" fillId="0" borderId="1" xfId="0" applyNumberFormat="1" applyFont="1" applyBorder="1" applyAlignment="1">
      <alignment horizontal="center"/>
    </xf>
    <xf numFmtId="49" fontId="1" fillId="0" borderId="0" xfId="0" applyNumberFormat="1" applyFont="1"/>
    <xf numFmtId="43" fontId="1" fillId="6" borderId="1" xfId="0" applyNumberFormat="1" applyFont="1" applyFill="1" applyBorder="1"/>
    <xf numFmtId="0" fontId="2" fillId="7" borderId="0" xfId="0" applyFont="1" applyFill="1" applyAlignment="1">
      <alignment horizontal="left"/>
    </xf>
    <xf numFmtId="0" fontId="1" fillId="0" borderId="7" xfId="0" applyFont="1" applyBorder="1" applyAlignment="1">
      <alignment horizontal="center"/>
    </xf>
    <xf numFmtId="43" fontId="1" fillId="8" borderId="1" xfId="0" applyNumberFormat="1" applyFont="1" applyFill="1" applyBorder="1"/>
    <xf numFmtId="0" fontId="1" fillId="0" borderId="9" xfId="0" applyFont="1" applyBorder="1" applyAlignment="1">
      <alignment horizontal="center"/>
    </xf>
    <xf numFmtId="0" fontId="1" fillId="0" borderId="10" xfId="0" applyFont="1" applyBorder="1"/>
    <xf numFmtId="16" fontId="5" fillId="0" borderId="10" xfId="0" applyNumberFormat="1" applyFont="1" applyBorder="1" applyAlignment="1">
      <alignment horizontal="center"/>
    </xf>
    <xf numFmtId="20" fontId="5" fillId="0" borderId="10" xfId="0" applyNumberFormat="1" applyFont="1" applyBorder="1" applyAlignment="1">
      <alignment horizontal="center"/>
    </xf>
    <xf numFmtId="0" fontId="1" fillId="3" borderId="11" xfId="0" applyFont="1" applyFill="1" applyBorder="1"/>
    <xf numFmtId="0" fontId="1" fillId="0" borderId="0" xfId="0" applyFont="1" applyAlignment="1">
      <alignment horizontal="center"/>
    </xf>
    <xf numFmtId="0" fontId="4" fillId="0" borderId="0" xfId="0" applyFont="1" applyAlignment="1">
      <alignment horizontal="left"/>
    </xf>
    <xf numFmtId="43" fontId="1" fillId="9" borderId="12" xfId="0" applyNumberFormat="1" applyFont="1" applyFill="1" applyBorder="1"/>
    <xf numFmtId="43" fontId="1" fillId="3" borderId="1" xfId="0" applyNumberFormat="1" applyFont="1" applyFill="1" applyBorder="1"/>
    <xf numFmtId="43" fontId="4" fillId="0" borderId="0" xfId="0" applyNumberFormat="1" applyFont="1" applyAlignment="1">
      <alignment horizontal="center"/>
    </xf>
    <xf numFmtId="0" fontId="7" fillId="0" borderId="16" xfId="0" applyFont="1" applyBorder="1" applyAlignment="1">
      <alignment horizontal="center"/>
    </xf>
    <xf numFmtId="0" fontId="8" fillId="0" borderId="0" xfId="0" applyFont="1" applyAlignment="1">
      <alignment horizontal="center"/>
    </xf>
    <xf numFmtId="4" fontId="4" fillId="0" borderId="17" xfId="0" applyNumberFormat="1" applyFont="1" applyBorder="1" applyAlignment="1">
      <alignment horizontal="center"/>
    </xf>
    <xf numFmtId="0" fontId="4" fillId="0" borderId="17" xfId="0" applyFont="1" applyBorder="1" applyAlignment="1">
      <alignment horizontal="center"/>
    </xf>
    <xf numFmtId="0" fontId="4" fillId="0" borderId="0" xfId="0" applyFont="1" applyAlignment="1">
      <alignment horizontal="center"/>
    </xf>
    <xf numFmtId="0" fontId="4" fillId="0" borderId="0" xfId="0" applyFont="1" applyAlignment="1">
      <alignment horizontal="center" vertical="center"/>
    </xf>
    <xf numFmtId="43" fontId="4" fillId="0" borderId="0" xfId="0" applyNumberFormat="1" applyFont="1" applyAlignment="1">
      <alignment horizontal="center" wrapText="1"/>
    </xf>
    <xf numFmtId="43" fontId="4" fillId="9" borderId="0" xfId="0" applyNumberFormat="1" applyFont="1" applyFill="1" applyAlignment="1">
      <alignment horizontal="center" wrapText="1"/>
    </xf>
    <xf numFmtId="164" fontId="4" fillId="0" borderId="0" xfId="0" applyNumberFormat="1" applyFont="1" applyAlignment="1">
      <alignment horizontal="right"/>
    </xf>
    <xf numFmtId="165" fontId="4" fillId="0" borderId="0" xfId="0" applyNumberFormat="1" applyFont="1" applyAlignment="1">
      <alignment horizontal="center"/>
    </xf>
    <xf numFmtId="0" fontId="7" fillId="0" borderId="19" xfId="0" applyFont="1" applyBorder="1" applyAlignment="1">
      <alignment horizontal="center" vertical="center"/>
    </xf>
    <xf numFmtId="0" fontId="7" fillId="0" borderId="20" xfId="0" applyFont="1" applyBorder="1" applyAlignment="1">
      <alignment horizontal="center" vertical="center"/>
    </xf>
    <xf numFmtId="0" fontId="7" fillId="0" borderId="20" xfId="0" applyFont="1" applyBorder="1" applyAlignment="1">
      <alignment horizontal="center" vertical="center" wrapText="1"/>
    </xf>
    <xf numFmtId="0" fontId="7" fillId="0" borderId="21" xfId="0" applyFont="1" applyBorder="1" applyAlignment="1">
      <alignment horizontal="center" vertical="center" wrapText="1"/>
    </xf>
    <xf numFmtId="0" fontId="9" fillId="0" borderId="0" xfId="0" applyFont="1" applyAlignment="1">
      <alignment horizontal="center"/>
    </xf>
    <xf numFmtId="0" fontId="4" fillId="0" borderId="18" xfId="0" applyFont="1" applyBorder="1" applyAlignment="1">
      <alignment horizontal="center"/>
    </xf>
    <xf numFmtId="0" fontId="4" fillId="0" borderId="6" xfId="0" applyFont="1" applyBorder="1" applyAlignment="1">
      <alignment horizontal="center"/>
    </xf>
    <xf numFmtId="43" fontId="2" fillId="0" borderId="0" xfId="0" applyNumberFormat="1" applyFont="1" applyAlignment="1">
      <alignment horizontal="center"/>
    </xf>
    <xf numFmtId="43" fontId="4" fillId="0" borderId="0" xfId="0" applyNumberFormat="1" applyFont="1"/>
    <xf numFmtId="43" fontId="4" fillId="9" borderId="0" xfId="0" applyNumberFormat="1" applyFont="1" applyFill="1" applyAlignment="1">
      <alignment horizontal="center"/>
    </xf>
    <xf numFmtId="0" fontId="7" fillId="0" borderId="25" xfId="0" applyFont="1" applyBorder="1" applyAlignment="1">
      <alignment horizontal="center" vertical="center"/>
    </xf>
    <xf numFmtId="0" fontId="7" fillId="0" borderId="26" xfId="0" applyFont="1" applyBorder="1" applyAlignment="1">
      <alignment horizontal="center" vertical="center"/>
    </xf>
    <xf numFmtId="0" fontId="7" fillId="0" borderId="0" xfId="0" applyFont="1" applyAlignment="1">
      <alignment horizontal="center"/>
    </xf>
    <xf numFmtId="4" fontId="1" fillId="0" borderId="0" xfId="0" applyNumberFormat="1" applyFont="1"/>
    <xf numFmtId="0" fontId="1" fillId="0" borderId="1" xfId="0" applyFont="1" applyBorder="1" applyAlignment="1">
      <alignment horizontal="left"/>
    </xf>
    <xf numFmtId="49" fontId="1" fillId="0" borderId="1" xfId="0" applyNumberFormat="1" applyFont="1" applyBorder="1"/>
    <xf numFmtId="0" fontId="1" fillId="0" borderId="1" xfId="0" applyFont="1" applyBorder="1"/>
    <xf numFmtId="43" fontId="2" fillId="0" borderId="1" xfId="0" applyNumberFormat="1" applyFont="1" applyBorder="1"/>
    <xf numFmtId="0" fontId="1" fillId="0" borderId="1" xfId="0" applyFont="1" applyBorder="1" applyAlignment="1">
      <alignment horizontal="center"/>
    </xf>
    <xf numFmtId="0" fontId="1" fillId="0" borderId="1" xfId="0" applyFont="1" applyBorder="1" applyAlignment="1">
      <alignment horizontal="center" vertical="center"/>
    </xf>
    <xf numFmtId="43" fontId="1" fillId="0" borderId="1" xfId="0" applyNumberFormat="1" applyFont="1" applyBorder="1"/>
    <xf numFmtId="164" fontId="1" fillId="0" borderId="1" xfId="0" applyNumberFormat="1" applyFont="1" applyBorder="1" applyAlignment="1">
      <alignment horizontal="right"/>
    </xf>
    <xf numFmtId="49" fontId="1" fillId="0" borderId="1" xfId="0" applyNumberFormat="1" applyFont="1" applyBorder="1" applyAlignment="1">
      <alignment horizontal="center"/>
    </xf>
    <xf numFmtId="49" fontId="1" fillId="0" borderId="1" xfId="0" applyNumberFormat="1" applyFont="1" applyBorder="1" applyAlignment="1">
      <alignment horizontal="right"/>
    </xf>
    <xf numFmtId="165" fontId="1" fillId="0" borderId="1" xfId="0" applyNumberFormat="1" applyFont="1" applyBorder="1"/>
    <xf numFmtId="0" fontId="4" fillId="0" borderId="1" xfId="0" applyFont="1" applyBorder="1"/>
    <xf numFmtId="0" fontId="1" fillId="0" borderId="1" xfId="0" quotePrefix="1" applyFont="1" applyBorder="1" applyAlignment="1">
      <alignment horizontal="left"/>
    </xf>
    <xf numFmtId="49" fontId="1" fillId="0" borderId="1" xfId="0" quotePrefix="1" applyNumberFormat="1" applyFont="1" applyBorder="1" applyAlignment="1">
      <alignment horizontal="center"/>
    </xf>
    <xf numFmtId="16" fontId="5" fillId="0" borderId="0" xfId="0" applyNumberFormat="1" applyFont="1"/>
    <xf numFmtId="20" fontId="5" fillId="0" borderId="0" xfId="0" applyNumberFormat="1" applyFont="1"/>
    <xf numFmtId="0" fontId="1" fillId="6" borderId="1" xfId="0" quotePrefix="1" applyFont="1" applyFill="1" applyBorder="1" applyAlignment="1">
      <alignment horizontal="left"/>
    </xf>
    <xf numFmtId="0" fontId="1" fillId="6" borderId="1" xfId="0" applyFont="1" applyFill="1" applyBorder="1"/>
    <xf numFmtId="0" fontId="1" fillId="6" borderId="1" xfId="0" applyFont="1" applyFill="1" applyBorder="1" applyAlignment="1">
      <alignment horizontal="left"/>
    </xf>
    <xf numFmtId="0" fontId="1" fillId="6" borderId="1" xfId="0" applyFont="1" applyFill="1" applyBorder="1" applyAlignment="1">
      <alignment horizontal="center" vertical="center"/>
    </xf>
    <xf numFmtId="0" fontId="1" fillId="6" borderId="0" xfId="0" applyFont="1" applyFill="1"/>
    <xf numFmtId="165" fontId="1" fillId="10" borderId="1" xfId="0" applyNumberFormat="1" applyFont="1" applyFill="1" applyBorder="1"/>
    <xf numFmtId="165" fontId="1" fillId="6" borderId="1" xfId="0" applyNumberFormat="1" applyFont="1" applyFill="1" applyBorder="1"/>
    <xf numFmtId="16" fontId="1" fillId="6" borderId="1" xfId="0" applyNumberFormat="1" applyFont="1" applyFill="1" applyBorder="1"/>
    <xf numFmtId="49" fontId="1" fillId="6" borderId="1" xfId="0" quotePrefix="1" applyNumberFormat="1" applyFont="1" applyFill="1" applyBorder="1" applyAlignment="1">
      <alignment horizontal="center"/>
    </xf>
    <xf numFmtId="49" fontId="1" fillId="6" borderId="1" xfId="0" applyNumberFormat="1" applyFont="1" applyFill="1" applyBorder="1" applyAlignment="1">
      <alignment horizontal="right"/>
    </xf>
    <xf numFmtId="0" fontId="5" fillId="0" borderId="0" xfId="0" applyFont="1"/>
    <xf numFmtId="2" fontId="5" fillId="0" borderId="0" xfId="0" applyNumberFormat="1" applyFont="1" applyAlignment="1">
      <alignment horizontal="center"/>
    </xf>
    <xf numFmtId="0" fontId="10" fillId="0" borderId="0" xfId="0" applyFont="1"/>
    <xf numFmtId="16" fontId="1" fillId="0" borderId="1" xfId="0" applyNumberFormat="1" applyFont="1" applyBorder="1"/>
    <xf numFmtId="0" fontId="1" fillId="6" borderId="1" xfId="0" applyFont="1" applyFill="1" applyBorder="1" applyAlignment="1">
      <alignment horizontal="right"/>
    </xf>
    <xf numFmtId="165" fontId="1" fillId="0" borderId="0" xfId="0" applyNumberFormat="1" applyFont="1" applyAlignment="1">
      <alignment horizontal="center"/>
    </xf>
    <xf numFmtId="164" fontId="1" fillId="6" borderId="1" xfId="0" applyNumberFormat="1" applyFont="1" applyFill="1" applyBorder="1" applyAlignment="1">
      <alignment horizontal="right"/>
    </xf>
    <xf numFmtId="0" fontId="1" fillId="6" borderId="1" xfId="0" quotePrefix="1" applyFont="1" applyFill="1" applyBorder="1"/>
    <xf numFmtId="165" fontId="11" fillId="0" borderId="1" xfId="0" applyNumberFormat="1" applyFont="1" applyBorder="1"/>
    <xf numFmtId="165" fontId="4" fillId="0" borderId="1" xfId="0" applyNumberFormat="1" applyFont="1" applyBorder="1"/>
    <xf numFmtId="43" fontId="1" fillId="0" borderId="0" xfId="0" applyNumberFormat="1" applyFont="1" applyAlignment="1">
      <alignment horizontal="left"/>
    </xf>
    <xf numFmtId="165" fontId="1" fillId="11" borderId="1" xfId="0" applyNumberFormat="1" applyFont="1" applyFill="1" applyBorder="1" applyAlignment="1">
      <alignment horizontal="center"/>
    </xf>
    <xf numFmtId="165" fontId="4" fillId="0" borderId="0" xfId="0" applyNumberFormat="1" applyFont="1"/>
    <xf numFmtId="165" fontId="1" fillId="0" borderId="0" xfId="0" applyNumberFormat="1" applyFont="1" applyAlignment="1">
      <alignment horizontal="left"/>
    </xf>
    <xf numFmtId="0" fontId="1" fillId="2" borderId="1" xfId="0" quotePrefix="1" applyFont="1" applyFill="1" applyBorder="1" applyAlignment="1">
      <alignment horizontal="left"/>
    </xf>
    <xf numFmtId="0" fontId="1" fillId="2" borderId="27" xfId="0" applyFont="1" applyFill="1" applyBorder="1"/>
    <xf numFmtId="0" fontId="1" fillId="2" borderId="1" xfId="0" applyFont="1" applyFill="1" applyBorder="1"/>
    <xf numFmtId="165" fontId="1" fillId="2" borderId="1" xfId="0" applyNumberFormat="1" applyFont="1" applyFill="1" applyBorder="1"/>
    <xf numFmtId="0" fontId="1" fillId="2" borderId="1" xfId="0" applyFont="1" applyFill="1" applyBorder="1" applyAlignment="1">
      <alignment horizontal="center" vertical="center"/>
    </xf>
    <xf numFmtId="0" fontId="1" fillId="2" borderId="0" xfId="0" applyFont="1" applyFill="1"/>
    <xf numFmtId="164" fontId="1" fillId="2" borderId="1" xfId="0" applyNumberFormat="1" applyFont="1" applyFill="1" applyBorder="1" applyAlignment="1">
      <alignment horizontal="right"/>
    </xf>
    <xf numFmtId="49" fontId="1" fillId="2" borderId="1" xfId="0" applyNumberFormat="1" applyFont="1" applyFill="1" applyBorder="1" applyAlignment="1">
      <alignment horizontal="center"/>
    </xf>
    <xf numFmtId="49" fontId="1" fillId="2" borderId="1" xfId="0" applyNumberFormat="1" applyFont="1" applyFill="1" applyBorder="1" applyAlignment="1">
      <alignment horizontal="right"/>
    </xf>
    <xf numFmtId="49" fontId="1" fillId="2" borderId="1" xfId="0" applyNumberFormat="1" applyFont="1" applyFill="1" applyBorder="1"/>
    <xf numFmtId="165" fontId="1" fillId="2" borderId="0" xfId="0" applyNumberFormat="1" applyFont="1" applyFill="1"/>
    <xf numFmtId="4" fontId="12" fillId="12" borderId="0" xfId="0" applyNumberFormat="1" applyFont="1" applyFill="1"/>
    <xf numFmtId="43" fontId="1" fillId="12" borderId="0" xfId="0" applyNumberFormat="1" applyFont="1" applyFill="1" applyAlignment="1">
      <alignment horizontal="center"/>
    </xf>
    <xf numFmtId="0" fontId="1" fillId="12" borderId="0" xfId="0" applyFont="1" applyFill="1" applyAlignment="1">
      <alignment horizontal="center"/>
    </xf>
    <xf numFmtId="0" fontId="1" fillId="12" borderId="0" xfId="0" applyFont="1" applyFill="1"/>
    <xf numFmtId="4" fontId="10" fillId="12" borderId="0" xfId="0" applyNumberFormat="1" applyFont="1" applyFill="1"/>
    <xf numFmtId="165" fontId="1" fillId="0" borderId="17" xfId="0" applyNumberFormat="1" applyFont="1" applyBorder="1"/>
    <xf numFmtId="4" fontId="10" fillId="12" borderId="0" xfId="0" applyNumberFormat="1" applyFont="1" applyFill="1" applyAlignment="1">
      <alignment horizontal="left"/>
    </xf>
    <xf numFmtId="43" fontId="1" fillId="12" borderId="0" xfId="0" applyNumberFormat="1" applyFont="1" applyFill="1"/>
    <xf numFmtId="49" fontId="1" fillId="6" borderId="1" xfId="0" applyNumberFormat="1" applyFont="1" applyFill="1" applyBorder="1"/>
    <xf numFmtId="165" fontId="1" fillId="6" borderId="17" xfId="0" applyNumberFormat="1" applyFont="1" applyFill="1" applyBorder="1"/>
    <xf numFmtId="0" fontId="1" fillId="6" borderId="6" xfId="0" applyFont="1" applyFill="1" applyBorder="1"/>
    <xf numFmtId="165" fontId="1" fillId="12" borderId="0" xfId="0" applyNumberFormat="1" applyFont="1" applyFill="1"/>
    <xf numFmtId="165" fontId="4" fillId="0" borderId="17" xfId="0" applyNumberFormat="1" applyFont="1" applyBorder="1"/>
    <xf numFmtId="0" fontId="4" fillId="13" borderId="1" xfId="0" applyFont="1" applyFill="1" applyBorder="1"/>
    <xf numFmtId="0" fontId="1" fillId="13" borderId="1" xfId="0" applyFont="1" applyFill="1" applyBorder="1" applyAlignment="1">
      <alignment horizontal="center" vertical="center"/>
    </xf>
    <xf numFmtId="165" fontId="4" fillId="13" borderId="1" xfId="0" applyNumberFormat="1" applyFont="1" applyFill="1" applyBorder="1"/>
    <xf numFmtId="165" fontId="13" fillId="0" borderId="1" xfId="0" applyNumberFormat="1" applyFont="1" applyBorder="1"/>
    <xf numFmtId="165" fontId="1" fillId="0" borderId="20" xfId="0" applyNumberFormat="1" applyFont="1" applyBorder="1"/>
    <xf numFmtId="0" fontId="1" fillId="4" borderId="1" xfId="0" quotePrefix="1" applyFont="1" applyFill="1" applyBorder="1" applyAlignment="1">
      <alignment horizontal="left"/>
    </xf>
    <xf numFmtId="49" fontId="1" fillId="4" borderId="1" xfId="0" applyNumberFormat="1" applyFont="1" applyFill="1" applyBorder="1"/>
    <xf numFmtId="0" fontId="1" fillId="4" borderId="1" xfId="0" applyFont="1" applyFill="1" applyBorder="1"/>
    <xf numFmtId="165" fontId="1" fillId="4" borderId="1" xfId="0" applyNumberFormat="1" applyFont="1" applyFill="1" applyBorder="1"/>
    <xf numFmtId="0" fontId="1" fillId="4" borderId="1" xfId="0" applyFont="1" applyFill="1" applyBorder="1" applyAlignment="1">
      <alignment horizontal="center" vertical="center"/>
    </xf>
    <xf numFmtId="16" fontId="1" fillId="4" borderId="1" xfId="0" applyNumberFormat="1" applyFont="1" applyFill="1" applyBorder="1"/>
    <xf numFmtId="49" fontId="1" fillId="4" borderId="1" xfId="0" applyNumberFormat="1" applyFont="1" applyFill="1" applyBorder="1" applyAlignment="1">
      <alignment horizontal="center"/>
    </xf>
    <xf numFmtId="49" fontId="1" fillId="4" borderId="1" xfId="0" applyNumberFormat="1" applyFont="1" applyFill="1" applyBorder="1" applyAlignment="1">
      <alignment horizontal="right"/>
    </xf>
    <xf numFmtId="164" fontId="1" fillId="4" borderId="1" xfId="0" applyNumberFormat="1" applyFont="1" applyFill="1" applyBorder="1" applyAlignment="1">
      <alignment horizontal="right"/>
    </xf>
    <xf numFmtId="0" fontId="1" fillId="4" borderId="1" xfId="0" applyFont="1" applyFill="1" applyBorder="1" applyAlignment="1">
      <alignment horizontal="left"/>
    </xf>
    <xf numFmtId="43" fontId="4" fillId="14" borderId="1" xfId="0" applyNumberFormat="1" applyFont="1" applyFill="1" applyBorder="1"/>
    <xf numFmtId="43" fontId="1" fillId="14" borderId="1" xfId="0" applyNumberFormat="1" applyFont="1" applyFill="1" applyBorder="1"/>
    <xf numFmtId="43" fontId="13" fillId="14" borderId="1" xfId="0" applyNumberFormat="1" applyFont="1" applyFill="1" applyBorder="1"/>
    <xf numFmtId="43" fontId="4" fillId="15" borderId="1" xfId="0" applyNumberFormat="1" applyFont="1" applyFill="1" applyBorder="1"/>
    <xf numFmtId="43" fontId="1" fillId="15" borderId="1" xfId="0" applyNumberFormat="1" applyFont="1" applyFill="1" applyBorder="1"/>
    <xf numFmtId="0" fontId="14" fillId="0" borderId="1" xfId="0" applyFont="1" applyBorder="1"/>
    <xf numFmtId="43" fontId="15" fillId="0" borderId="1" xfId="0" applyNumberFormat="1" applyFont="1" applyBorder="1"/>
    <xf numFmtId="165" fontId="14" fillId="0" borderId="1" xfId="0" applyNumberFormat="1" applyFont="1" applyBorder="1"/>
    <xf numFmtId="0" fontId="15" fillId="0" borderId="1" xfId="0" applyFont="1" applyBorder="1"/>
    <xf numFmtId="0" fontId="1" fillId="2" borderId="1" xfId="0" applyFont="1" applyFill="1" applyBorder="1" applyAlignment="1">
      <alignment horizontal="left"/>
    </xf>
    <xf numFmtId="165" fontId="15" fillId="0" borderId="1" xfId="0" applyNumberFormat="1" applyFont="1" applyBorder="1"/>
    <xf numFmtId="43" fontId="4" fillId="14" borderId="28" xfId="0" quotePrefix="1" applyNumberFormat="1" applyFont="1" applyFill="1" applyBorder="1"/>
    <xf numFmtId="43" fontId="1" fillId="14" borderId="29" xfId="0" applyNumberFormat="1" applyFont="1" applyFill="1" applyBorder="1"/>
    <xf numFmtId="43" fontId="1" fillId="14" borderId="30" xfId="0" applyNumberFormat="1" applyFont="1" applyFill="1" applyBorder="1"/>
    <xf numFmtId="43" fontId="4" fillId="14" borderId="1" xfId="0" applyNumberFormat="1" applyFont="1" applyFill="1" applyBorder="1" applyAlignment="1">
      <alignment horizontal="center" vertical="center"/>
    </xf>
    <xf numFmtId="43" fontId="2" fillId="14" borderId="30" xfId="0" applyNumberFormat="1" applyFont="1" applyFill="1" applyBorder="1"/>
    <xf numFmtId="43" fontId="16" fillId="14" borderId="30" xfId="0" applyNumberFormat="1" applyFont="1" applyFill="1" applyBorder="1"/>
    <xf numFmtId="43" fontId="17" fillId="14" borderId="1" xfId="0" applyNumberFormat="1" applyFont="1" applyFill="1" applyBorder="1"/>
    <xf numFmtId="43" fontId="18" fillId="16" borderId="30" xfId="0" applyNumberFormat="1" applyFont="1" applyFill="1" applyBorder="1"/>
    <xf numFmtId="43" fontId="17" fillId="16" borderId="1" xfId="0" applyNumberFormat="1" applyFont="1" applyFill="1" applyBorder="1"/>
    <xf numFmtId="43" fontId="1" fillId="16" borderId="1" xfId="0" applyNumberFormat="1" applyFont="1" applyFill="1" applyBorder="1"/>
    <xf numFmtId="43" fontId="16" fillId="16" borderId="30" xfId="0" applyNumberFormat="1" applyFont="1" applyFill="1" applyBorder="1"/>
    <xf numFmtId="43" fontId="4" fillId="15" borderId="30" xfId="0" applyNumberFormat="1" applyFont="1" applyFill="1" applyBorder="1"/>
    <xf numFmtId="43" fontId="4" fillId="15" borderId="1" xfId="0" applyNumberFormat="1" applyFont="1" applyFill="1" applyBorder="1" applyAlignment="1">
      <alignment horizontal="center"/>
    </xf>
    <xf numFmtId="43" fontId="18" fillId="15" borderId="30" xfId="0" applyNumberFormat="1" applyFont="1" applyFill="1" applyBorder="1"/>
    <xf numFmtId="43" fontId="2" fillId="15" borderId="30" xfId="0" applyNumberFormat="1" applyFont="1" applyFill="1" applyBorder="1"/>
    <xf numFmtId="43" fontId="14" fillId="0" borderId="1" xfId="0" applyNumberFormat="1" applyFont="1" applyBorder="1"/>
    <xf numFmtId="43" fontId="17" fillId="15" borderId="31" xfId="0" applyNumberFormat="1" applyFont="1" applyFill="1" applyBorder="1"/>
    <xf numFmtId="43" fontId="17" fillId="15" borderId="25" xfId="0" applyNumberFormat="1" applyFont="1" applyFill="1" applyBorder="1"/>
    <xf numFmtId="43" fontId="1" fillId="17" borderId="1" xfId="0" applyNumberFormat="1" applyFont="1" applyFill="1" applyBorder="1"/>
    <xf numFmtId="165" fontId="1" fillId="17" borderId="1" xfId="0" applyNumberFormat="1" applyFont="1" applyFill="1" applyBorder="1"/>
    <xf numFmtId="43" fontId="4" fillId="0" borderId="1" xfId="0" applyNumberFormat="1" applyFont="1" applyBorder="1"/>
    <xf numFmtId="43" fontId="1" fillId="13" borderId="1" xfId="0" applyNumberFormat="1" applyFont="1" applyFill="1" applyBorder="1"/>
    <xf numFmtId="43" fontId="1" fillId="14" borderId="32" xfId="0" applyNumberFormat="1" applyFont="1" applyFill="1" applyBorder="1"/>
    <xf numFmtId="43" fontId="4" fillId="17" borderId="33" xfId="0" applyNumberFormat="1" applyFont="1" applyFill="1" applyBorder="1" applyAlignment="1">
      <alignment horizontal="center"/>
    </xf>
    <xf numFmtId="43" fontId="4" fillId="14" borderId="17" xfId="0" applyNumberFormat="1" applyFont="1" applyFill="1" applyBorder="1" applyAlignment="1">
      <alignment horizontal="center" vertical="center"/>
    </xf>
    <xf numFmtId="43" fontId="1" fillId="17" borderId="34" xfId="0" applyNumberFormat="1" applyFont="1" applyFill="1" applyBorder="1"/>
    <xf numFmtId="43" fontId="1" fillId="14" borderId="17" xfId="0" applyNumberFormat="1" applyFont="1" applyFill="1" applyBorder="1"/>
    <xf numFmtId="43" fontId="17" fillId="14" borderId="17" xfId="0" applyNumberFormat="1" applyFont="1" applyFill="1" applyBorder="1"/>
    <xf numFmtId="43" fontId="17" fillId="16" borderId="17" xfId="0" applyNumberFormat="1" applyFont="1" applyFill="1" applyBorder="1"/>
    <xf numFmtId="43" fontId="1" fillId="16" borderId="17" xfId="0" applyNumberFormat="1" applyFont="1" applyFill="1" applyBorder="1"/>
    <xf numFmtId="43" fontId="1" fillId="15" borderId="17" xfId="0" applyNumberFormat="1" applyFont="1" applyFill="1" applyBorder="1"/>
    <xf numFmtId="43" fontId="4" fillId="15" borderId="17" xfId="0" applyNumberFormat="1" applyFont="1" applyFill="1" applyBorder="1" applyAlignment="1">
      <alignment horizontal="center"/>
    </xf>
    <xf numFmtId="43" fontId="17" fillId="15" borderId="24" xfId="0" applyNumberFormat="1" applyFont="1" applyFill="1" applyBorder="1"/>
    <xf numFmtId="43" fontId="1" fillId="17" borderId="35" xfId="0" applyNumberFormat="1" applyFont="1" applyFill="1" applyBorder="1"/>
    <xf numFmtId="0" fontId="7" fillId="0" borderId="22" xfId="0" applyFont="1" applyBorder="1" applyAlignment="1">
      <alignment horizontal="center"/>
    </xf>
    <xf numFmtId="0" fontId="6" fillId="0" borderId="23" xfId="0" applyFont="1" applyBorder="1"/>
    <xf numFmtId="0" fontId="7" fillId="0" borderId="24" xfId="0" applyFont="1" applyBorder="1" applyAlignment="1">
      <alignment horizontal="center"/>
    </xf>
    <xf numFmtId="0" fontId="1" fillId="4" borderId="5" xfId="0" applyFont="1" applyFill="1" applyBorder="1" applyAlignment="1">
      <alignment horizontal="center"/>
    </xf>
    <xf numFmtId="0" fontId="6" fillId="0" borderId="6" xfId="0" applyFont="1" applyBorder="1"/>
    <xf numFmtId="0" fontId="7" fillId="0" borderId="13" xfId="0" applyFont="1" applyBorder="1" applyAlignment="1">
      <alignment horizontal="center"/>
    </xf>
    <xf numFmtId="0" fontId="6" fillId="0" borderId="14" xfId="0" applyFont="1" applyBorder="1"/>
    <xf numFmtId="0" fontId="6" fillId="0" borderId="15" xfId="0" applyFont="1" applyBorder="1"/>
    <xf numFmtId="4" fontId="4" fillId="0" borderId="17" xfId="0" applyNumberFormat="1" applyFont="1" applyBorder="1" applyAlignment="1">
      <alignment horizontal="center"/>
    </xf>
    <xf numFmtId="0" fontId="6" fillId="0" borderId="18" xfId="0" applyFont="1" applyBorder="1"/>
    <xf numFmtId="0" fontId="4" fillId="0" borderId="17" xfId="0" applyFont="1" applyBorder="1" applyAlignment="1">
      <alignment horizontal="center"/>
    </xf>
    <xf numFmtId="43" fontId="4" fillId="0" borderId="0" xfId="0" applyNumberFormat="1" applyFont="1" applyAlignment="1">
      <alignment horizontal="center"/>
    </xf>
    <xf numFmtId="0" fontId="0" fillId="0" borderId="0" xfId="0"/>
    <xf numFmtId="49" fontId="4" fillId="0" borderId="0" xfId="0" applyNumberFormat="1" applyFont="1" applyAlignment="1">
      <alignment horizontal="center"/>
    </xf>
  </cellXfs>
  <cellStyles count="1">
    <cellStyle name="Normal" xfId="0" builtinId="0"/>
  </cellStyles>
  <dxfs count="73">
    <dxf>
      <fill>
        <patternFill patternType="solid">
          <fgColor rgb="FFFF6600"/>
          <bgColor rgb="FFFF6600"/>
        </patternFill>
      </fill>
    </dxf>
    <dxf>
      <fill>
        <patternFill patternType="solid">
          <fgColor rgb="FFFF3300"/>
          <bgColor rgb="FFFF3300"/>
        </patternFill>
      </fill>
    </dxf>
    <dxf>
      <fill>
        <patternFill patternType="solid">
          <fgColor rgb="FFBF9000"/>
          <bgColor rgb="FFBF9000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E598"/>
          <bgColor rgb="FFFFE598"/>
        </patternFill>
      </fill>
    </dxf>
    <dxf>
      <fill>
        <patternFill patternType="solid">
          <fgColor theme="7"/>
          <bgColor theme="7"/>
        </patternFill>
      </fill>
    </dxf>
    <dxf>
      <fill>
        <patternFill patternType="solid">
          <fgColor rgb="FF2E75B5"/>
          <bgColor rgb="FF2E75B5"/>
        </patternFill>
      </fill>
    </dxf>
    <dxf>
      <fill>
        <patternFill patternType="solid">
          <fgColor rgb="FF9CC2E5"/>
          <bgColor rgb="FF9CC2E5"/>
        </patternFill>
      </fill>
    </dxf>
    <dxf>
      <fill>
        <patternFill patternType="solid">
          <fgColor rgb="FFBDD6EE"/>
          <bgColor rgb="FFBDD6EE"/>
        </patternFill>
      </fill>
    </dxf>
    <dxf>
      <fill>
        <patternFill patternType="solid">
          <fgColor theme="5"/>
          <bgColor theme="5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7B7B7B"/>
          <bgColor rgb="FF7B7B7B"/>
        </patternFill>
      </fill>
    </dxf>
    <dxf>
      <fill>
        <patternFill patternType="solid">
          <fgColor rgb="FFB3AE4D"/>
          <bgColor rgb="FFB3AE4D"/>
        </patternFill>
      </fill>
    </dxf>
    <dxf>
      <fill>
        <patternFill patternType="solid">
          <fgColor rgb="FFC5E0B3"/>
          <bgColor rgb="FFC5E0B3"/>
        </patternFill>
      </fill>
    </dxf>
    <dxf>
      <fill>
        <patternFill patternType="solid">
          <fgColor rgb="FF00B050"/>
          <bgColor rgb="FF00B050"/>
        </patternFill>
      </fill>
    </dxf>
    <dxf>
      <font>
        <color rgb="FFFFFF00"/>
      </font>
      <fill>
        <patternFill patternType="solid">
          <fgColor rgb="FF7030A0"/>
          <bgColor rgb="FF7030A0"/>
        </patternFill>
      </fill>
    </dxf>
    <dxf>
      <fill>
        <patternFill patternType="solid">
          <fgColor rgb="FF7030A0"/>
          <bgColor rgb="FF7030A0"/>
        </patternFill>
      </fill>
    </dxf>
    <dxf>
      <fill>
        <patternFill patternType="solid">
          <fgColor rgb="FF2E75B5"/>
          <bgColor rgb="FF2E75B5"/>
        </patternFill>
      </fill>
    </dxf>
    <dxf>
      <fill>
        <patternFill patternType="solid">
          <fgColor rgb="FFFF6600"/>
          <bgColor rgb="FFFF6600"/>
        </patternFill>
      </fill>
    </dxf>
    <dxf>
      <fill>
        <patternFill patternType="solid">
          <fgColor rgb="FFFF3300"/>
          <bgColor rgb="FFFF3300"/>
        </patternFill>
      </fill>
    </dxf>
    <dxf>
      <fill>
        <patternFill patternType="solid">
          <fgColor rgb="FFBF9000"/>
          <bgColor rgb="FFBF9000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E598"/>
          <bgColor rgb="FFFFE598"/>
        </patternFill>
      </fill>
    </dxf>
    <dxf>
      <fill>
        <patternFill patternType="solid">
          <fgColor theme="7"/>
          <bgColor theme="7"/>
        </patternFill>
      </fill>
    </dxf>
    <dxf>
      <fill>
        <patternFill patternType="solid">
          <fgColor rgb="FF2E75B5"/>
          <bgColor rgb="FF2E75B5"/>
        </patternFill>
      </fill>
    </dxf>
    <dxf>
      <fill>
        <patternFill patternType="solid">
          <fgColor rgb="FF9CC2E5"/>
          <bgColor rgb="FF9CC2E5"/>
        </patternFill>
      </fill>
    </dxf>
    <dxf>
      <fill>
        <patternFill patternType="solid">
          <fgColor rgb="FFBDD6EE"/>
          <bgColor rgb="FFBDD6EE"/>
        </patternFill>
      </fill>
    </dxf>
    <dxf>
      <fill>
        <patternFill patternType="solid">
          <fgColor theme="5"/>
          <bgColor theme="5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7B7B7B"/>
          <bgColor rgb="FF7B7B7B"/>
        </patternFill>
      </fill>
    </dxf>
    <dxf>
      <fill>
        <patternFill patternType="solid">
          <fgColor rgb="FFB3AE4D"/>
          <bgColor rgb="FFB3AE4D"/>
        </patternFill>
      </fill>
    </dxf>
    <dxf>
      <fill>
        <patternFill patternType="solid">
          <fgColor rgb="FFC5E0B3"/>
          <bgColor rgb="FFC5E0B3"/>
        </patternFill>
      </fill>
    </dxf>
    <dxf>
      <fill>
        <patternFill patternType="solid">
          <fgColor rgb="FF00B050"/>
          <bgColor rgb="FF00B050"/>
        </patternFill>
      </fill>
    </dxf>
    <dxf>
      <font>
        <color rgb="FFFFFF00"/>
      </font>
      <fill>
        <patternFill patternType="solid">
          <fgColor rgb="FF7030A0"/>
          <bgColor rgb="FF7030A0"/>
        </patternFill>
      </fill>
    </dxf>
    <dxf>
      <fill>
        <patternFill patternType="solid">
          <fgColor rgb="FF7030A0"/>
          <bgColor rgb="FF7030A0"/>
        </patternFill>
      </fill>
    </dxf>
    <dxf>
      <fill>
        <patternFill patternType="solid">
          <fgColor rgb="FF2E75B5"/>
          <bgColor rgb="FF2E75B5"/>
        </patternFill>
      </fill>
    </dxf>
    <dxf>
      <fill>
        <patternFill patternType="solid">
          <fgColor rgb="FFFF6600"/>
          <bgColor rgb="FFFF6600"/>
        </patternFill>
      </fill>
    </dxf>
    <dxf>
      <fill>
        <patternFill patternType="solid">
          <fgColor rgb="FFFF3300"/>
          <bgColor rgb="FFFF3300"/>
        </patternFill>
      </fill>
    </dxf>
    <dxf>
      <fill>
        <patternFill patternType="solid">
          <fgColor rgb="FFBF9000"/>
          <bgColor rgb="FFBF9000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E598"/>
          <bgColor rgb="FFFFE598"/>
        </patternFill>
      </fill>
    </dxf>
    <dxf>
      <fill>
        <patternFill patternType="solid">
          <fgColor theme="7"/>
          <bgColor theme="7"/>
        </patternFill>
      </fill>
    </dxf>
    <dxf>
      <fill>
        <patternFill patternType="solid">
          <fgColor rgb="FF2E75B5"/>
          <bgColor rgb="FF2E75B5"/>
        </patternFill>
      </fill>
    </dxf>
    <dxf>
      <fill>
        <patternFill patternType="solid">
          <fgColor rgb="FF9CC2E5"/>
          <bgColor rgb="FF9CC2E5"/>
        </patternFill>
      </fill>
    </dxf>
    <dxf>
      <fill>
        <patternFill patternType="solid">
          <fgColor rgb="FFBDD6EE"/>
          <bgColor rgb="FFBDD6EE"/>
        </patternFill>
      </fill>
    </dxf>
    <dxf>
      <fill>
        <patternFill patternType="solid">
          <fgColor theme="5"/>
          <bgColor theme="5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7B7B7B"/>
          <bgColor rgb="FF7B7B7B"/>
        </patternFill>
      </fill>
    </dxf>
    <dxf>
      <fill>
        <patternFill patternType="solid">
          <fgColor rgb="FFB3AE4D"/>
          <bgColor rgb="FFB3AE4D"/>
        </patternFill>
      </fill>
    </dxf>
    <dxf>
      <fill>
        <patternFill patternType="solid">
          <fgColor rgb="FFC5E0B3"/>
          <bgColor rgb="FFC5E0B3"/>
        </patternFill>
      </fill>
    </dxf>
    <dxf>
      <fill>
        <patternFill patternType="solid">
          <fgColor rgb="FF00B050"/>
          <bgColor rgb="FF00B050"/>
        </patternFill>
      </fill>
    </dxf>
    <dxf>
      <font>
        <color rgb="FFFFFF00"/>
      </font>
      <fill>
        <patternFill patternType="solid">
          <fgColor rgb="FF7030A0"/>
          <bgColor rgb="FF7030A0"/>
        </patternFill>
      </fill>
    </dxf>
    <dxf>
      <fill>
        <patternFill patternType="solid">
          <fgColor rgb="FF7030A0"/>
          <bgColor rgb="FF7030A0"/>
        </patternFill>
      </fill>
    </dxf>
    <dxf>
      <fill>
        <patternFill patternType="solid">
          <fgColor rgb="FF2E75B5"/>
          <bgColor rgb="FF2E75B5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 patternType="solid">
          <fgColor rgb="FFFF6600"/>
          <bgColor rgb="FFFF6600"/>
        </patternFill>
      </fill>
    </dxf>
    <dxf>
      <fill>
        <patternFill patternType="solid">
          <fgColor rgb="FFFF3300"/>
          <bgColor rgb="FFFF3300"/>
        </patternFill>
      </fill>
    </dxf>
    <dxf>
      <fill>
        <patternFill patternType="solid">
          <fgColor rgb="FFBF9000"/>
          <bgColor rgb="FFBF9000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E598"/>
          <bgColor rgb="FFFFE598"/>
        </patternFill>
      </fill>
    </dxf>
    <dxf>
      <fill>
        <patternFill patternType="solid">
          <fgColor theme="7"/>
          <bgColor theme="7"/>
        </patternFill>
      </fill>
    </dxf>
    <dxf>
      <fill>
        <patternFill patternType="solid">
          <fgColor rgb="FF2E75B5"/>
          <bgColor rgb="FF2E75B5"/>
        </patternFill>
      </fill>
    </dxf>
    <dxf>
      <fill>
        <patternFill patternType="solid">
          <fgColor rgb="FF9CC2E5"/>
          <bgColor rgb="FF9CC2E5"/>
        </patternFill>
      </fill>
    </dxf>
    <dxf>
      <fill>
        <patternFill patternType="solid">
          <fgColor rgb="FFBDD6EE"/>
          <bgColor rgb="FFBDD6EE"/>
        </patternFill>
      </fill>
    </dxf>
    <dxf>
      <fill>
        <patternFill patternType="solid">
          <fgColor theme="5"/>
          <bgColor theme="5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7B7B7B"/>
          <bgColor rgb="FF7B7B7B"/>
        </patternFill>
      </fill>
    </dxf>
    <dxf>
      <fill>
        <patternFill patternType="solid">
          <fgColor rgb="FFB3AE4D"/>
          <bgColor rgb="FFB3AE4D"/>
        </patternFill>
      </fill>
    </dxf>
    <dxf>
      <fill>
        <patternFill patternType="solid">
          <fgColor rgb="FFC5E0B3"/>
          <bgColor rgb="FFC5E0B3"/>
        </patternFill>
      </fill>
    </dxf>
    <dxf>
      <fill>
        <patternFill patternType="solid">
          <fgColor rgb="FF00B050"/>
          <bgColor rgb="FF00B050"/>
        </patternFill>
      </fill>
    </dxf>
    <dxf>
      <font>
        <color rgb="FFFFFF00"/>
      </font>
      <fill>
        <patternFill patternType="solid">
          <fgColor rgb="FF7030A0"/>
          <bgColor rgb="FF7030A0"/>
        </patternFill>
      </fill>
    </dxf>
    <dxf>
      <fill>
        <patternFill patternType="solid">
          <fgColor rgb="FF7030A0"/>
          <bgColor rgb="FF7030A0"/>
        </patternFill>
      </fill>
    </dxf>
    <dxf>
      <fill>
        <patternFill patternType="solid">
          <fgColor rgb="FF2E75B5"/>
          <bgColor rgb="FF2E75B5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externalLink" Target="externalLinks/externalLink1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charm\Downloads\01%20MDS%20101%202026.xlsx" TargetMode="External"/><Relationship Id="rId1" Type="http://schemas.openxmlformats.org/officeDocument/2006/relationships/externalLinkPath" Target="01%20MDS%20101%202026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MDS 101"/>
      <sheetName val="PS"/>
      <sheetName val="MOOE"/>
      <sheetName val="ONELAB"/>
      <sheetName val="ONELAB 2025"/>
      <sheetName val="EMIEERALD"/>
      <sheetName val="CO"/>
      <sheetName val="GIA"/>
      <sheetName val="SETUP NONREFUND"/>
      <sheetName val="SETUP IFUND"/>
      <sheetName val="CALL CONFERENCE"/>
      <sheetName val="GREENWAVE"/>
      <sheetName val="GREENWAVE CNTG"/>
      <sheetName val="GREENWAVE pd AP"/>
      <sheetName val="MOOE CNTG"/>
      <sheetName val="SETUP CNTG"/>
      <sheetName val="TECHGROW CNTG"/>
      <sheetName val="TECHGROW PD AP"/>
      <sheetName val="IFWD CNTG"/>
      <sheetName val="IFWD CNTG pd AP"/>
      <sheetName val="SARAI MOOE CO CNTG"/>
      <sheetName val="SARAI CO CNTG  pd APs"/>
      <sheetName val="PRIOR YEAR AP"/>
      <sheetName val="2025 NYDD"/>
      <sheetName val="Prior Year Retention"/>
      <sheetName val="Ref"/>
    </sheetNames>
    <sheetDataSet>
      <sheetData sheetId="0" refreshError="1"/>
      <sheetData sheetId="1">
        <row r="27">
          <cell r="E27">
            <v>2515888.2800000003</v>
          </cell>
        </row>
      </sheetData>
      <sheetData sheetId="2">
        <row r="54">
          <cell r="E54">
            <v>475202.92</v>
          </cell>
        </row>
      </sheetData>
      <sheetData sheetId="3">
        <row r="17">
          <cell r="E17">
            <v>408.95</v>
          </cell>
        </row>
      </sheetData>
      <sheetData sheetId="4" refreshError="1"/>
      <sheetData sheetId="5" refreshError="1"/>
      <sheetData sheetId="6" refreshError="1"/>
      <sheetData sheetId="7">
        <row r="21">
          <cell r="E21">
            <v>39543.43</v>
          </cell>
        </row>
      </sheetData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>
        <row r="18">
          <cell r="E18">
            <v>141840</v>
          </cell>
        </row>
      </sheetData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>
        <row r="63">
          <cell r="E63">
            <v>1362777.7999999998</v>
          </cell>
        </row>
      </sheetData>
      <sheetData sheetId="23" refreshError="1"/>
      <sheetData sheetId="24" refreshError="1"/>
      <sheetData sheetId="25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C193277-AB55-404F-8044-A03EC8955A94}">
  <dimension ref="A1:AX159"/>
  <sheetViews>
    <sheetView tabSelected="1" workbookViewId="0">
      <selection activeCell="AQ9" sqref="AQ9"/>
    </sheetView>
  </sheetViews>
  <sheetFormatPr defaultRowHeight="14.4" x14ac:dyDescent="0.3"/>
  <cols>
    <col min="1" max="1" width="4.21875" customWidth="1"/>
    <col min="3" max="3" width="18.44140625" customWidth="1"/>
    <col min="4" max="4" width="19.6640625" customWidth="1"/>
    <col min="5" max="5" width="17.6640625" customWidth="1"/>
    <col min="6" max="6" width="59.21875" customWidth="1"/>
  </cols>
  <sheetData>
    <row r="1" spans="1:50" x14ac:dyDescent="0.3">
      <c r="A1" s="1" t="s">
        <v>0</v>
      </c>
      <c r="B1" s="1"/>
      <c r="C1" s="1"/>
      <c r="D1" s="2"/>
      <c r="E1" s="3"/>
      <c r="F1" s="4" t="s">
        <v>1</v>
      </c>
      <c r="G1" s="5"/>
      <c r="H1" s="3"/>
      <c r="I1" s="3"/>
      <c r="J1" s="3"/>
      <c r="K1" s="3"/>
      <c r="L1" s="3"/>
      <c r="M1" s="3"/>
      <c r="N1" s="6"/>
      <c r="O1" s="3"/>
      <c r="P1" s="6"/>
      <c r="Q1" s="6"/>
      <c r="R1" s="6"/>
      <c r="S1" s="6"/>
      <c r="T1" s="6"/>
      <c r="U1" s="6"/>
      <c r="V1" s="6"/>
      <c r="W1" s="7"/>
      <c r="X1" s="6" t="s">
        <v>2</v>
      </c>
      <c r="Y1" s="6"/>
      <c r="Z1" s="6"/>
      <c r="AA1" s="8"/>
      <c r="AB1" s="9"/>
      <c r="AC1" s="10"/>
      <c r="AD1" s="11" t="s">
        <v>3</v>
      </c>
      <c r="AE1" s="6"/>
      <c r="AF1" s="6"/>
      <c r="AG1" s="1"/>
      <c r="AH1" s="12" t="s">
        <v>4</v>
      </c>
      <c r="AI1" s="13"/>
      <c r="AJ1" s="13"/>
      <c r="AK1" s="13"/>
      <c r="AL1" s="13"/>
      <c r="AM1" s="13"/>
      <c r="AN1" s="14" t="str">
        <f>+TEXT(AM1-AK1,"h:mm")</f>
        <v>0:00</v>
      </c>
      <c r="AO1" s="13"/>
      <c r="AP1" s="15" t="s">
        <v>5</v>
      </c>
      <c r="AQ1" s="190" t="s">
        <v>6</v>
      </c>
      <c r="AR1" s="191"/>
      <c r="AS1" s="4"/>
      <c r="AT1" s="4"/>
      <c r="AU1" s="4"/>
      <c r="AV1" s="4"/>
      <c r="AW1" s="4"/>
      <c r="AX1" s="4"/>
    </row>
    <row r="2" spans="1:50" x14ac:dyDescent="0.3">
      <c r="A2" s="1" t="s">
        <v>7</v>
      </c>
      <c r="B2" s="4"/>
      <c r="C2" s="4"/>
      <c r="D2" s="2"/>
      <c r="E2" s="3"/>
      <c r="F2" s="4" t="s">
        <v>1</v>
      </c>
      <c r="G2" s="5"/>
      <c r="H2" s="3"/>
      <c r="I2" s="3"/>
      <c r="J2" s="3"/>
      <c r="K2" s="3"/>
      <c r="L2" s="3"/>
      <c r="M2" s="3"/>
      <c r="N2" s="6"/>
      <c r="O2" s="3"/>
      <c r="P2" s="6"/>
      <c r="Q2" s="6"/>
      <c r="R2" s="6"/>
      <c r="S2" s="6"/>
      <c r="T2" s="6"/>
      <c r="U2" s="6"/>
      <c r="V2" s="6"/>
      <c r="W2" s="16"/>
      <c r="X2" s="6" t="s">
        <v>8</v>
      </c>
      <c r="Y2" s="6"/>
      <c r="Z2" s="6"/>
      <c r="AA2" s="8"/>
      <c r="AB2" s="9"/>
      <c r="AC2" s="10"/>
      <c r="AD2" s="17"/>
      <c r="AE2" s="6"/>
      <c r="AF2" s="6"/>
      <c r="AG2" s="18" t="s">
        <v>9</v>
      </c>
      <c r="AH2" s="19">
        <v>4.1666666666666699E-2</v>
      </c>
      <c r="AI2" s="4"/>
      <c r="AJ2" s="20">
        <v>44599</v>
      </c>
      <c r="AK2" s="14">
        <v>0.46875</v>
      </c>
      <c r="AL2" s="20">
        <v>44599</v>
      </c>
      <c r="AM2" s="14">
        <v>0.60416666666666696</v>
      </c>
      <c r="AN2" s="14" t="str">
        <f>+TEXT(AM2-AK2-$AH$2,"h:mm")</f>
        <v>2:15</v>
      </c>
      <c r="AO2" s="4"/>
      <c r="AP2" s="21" t="s">
        <v>10</v>
      </c>
      <c r="AQ2" s="22" t="s">
        <v>11</v>
      </c>
      <c r="AR2" s="23">
        <v>0.33333333333333298</v>
      </c>
      <c r="AS2" s="4"/>
      <c r="AT2" s="4"/>
      <c r="AU2" s="4"/>
      <c r="AV2" s="4"/>
      <c r="AW2" s="4"/>
      <c r="AX2" s="4"/>
    </row>
    <row r="3" spans="1:50" x14ac:dyDescent="0.3">
      <c r="A3" s="1" t="s">
        <v>12</v>
      </c>
      <c r="B3" s="24"/>
      <c r="C3" s="4"/>
      <c r="D3" s="2"/>
      <c r="E3" s="3"/>
      <c r="F3" s="4" t="s">
        <v>1</v>
      </c>
      <c r="G3" s="5"/>
      <c r="H3" s="3"/>
      <c r="I3" s="3"/>
      <c r="J3" s="3"/>
      <c r="K3" s="3"/>
      <c r="L3" s="3"/>
      <c r="M3" s="3"/>
      <c r="N3" s="6"/>
      <c r="O3" s="3"/>
      <c r="P3" s="6"/>
      <c r="Q3" s="6"/>
      <c r="R3" s="6"/>
      <c r="S3" s="6"/>
      <c r="T3" s="6"/>
      <c r="U3" s="6"/>
      <c r="V3" s="6"/>
      <c r="W3" s="25"/>
      <c r="X3" s="6" t="s">
        <v>13</v>
      </c>
      <c r="Y3" s="6"/>
      <c r="Z3" s="6"/>
      <c r="AA3" s="8"/>
      <c r="AB3" s="9"/>
      <c r="AC3" s="10"/>
      <c r="AD3" s="17"/>
      <c r="AE3" s="6"/>
      <c r="AF3" s="6"/>
      <c r="AG3" s="26" t="s">
        <v>14</v>
      </c>
      <c r="AH3" s="27"/>
      <c r="AI3" s="4"/>
      <c r="AJ3" s="20">
        <v>44602</v>
      </c>
      <c r="AK3" s="14">
        <v>0.64236111111111105</v>
      </c>
      <c r="AL3" s="20">
        <v>44603</v>
      </c>
      <c r="AM3" s="14">
        <v>0.40625</v>
      </c>
      <c r="AN3" s="14">
        <f>+TEXT($AR$3-AK3,"h:mm")+TEXT(AM3-$AR$2,"h:mm")</f>
        <v>0.1388888888888889</v>
      </c>
      <c r="AO3" s="4"/>
      <c r="AP3" s="21" t="s">
        <v>15</v>
      </c>
      <c r="AQ3" s="22" t="s">
        <v>16</v>
      </c>
      <c r="AR3" s="23">
        <v>0.70833333333333304</v>
      </c>
      <c r="AS3" s="4"/>
      <c r="AT3" s="4"/>
      <c r="AU3" s="4"/>
      <c r="AV3" s="4"/>
      <c r="AW3" s="4"/>
      <c r="AX3" s="4"/>
    </row>
    <row r="4" spans="1:50" ht="15" thickBot="1" x14ac:dyDescent="0.35">
      <c r="A4" s="1"/>
      <c r="B4" s="24"/>
      <c r="C4" s="4"/>
      <c r="D4" s="2"/>
      <c r="E4" s="3"/>
      <c r="F4" s="4"/>
      <c r="G4" s="5"/>
      <c r="H4" s="3"/>
      <c r="I4" s="3"/>
      <c r="J4" s="3"/>
      <c r="K4" s="3"/>
      <c r="L4" s="3"/>
      <c r="M4" s="3"/>
      <c r="N4" s="6"/>
      <c r="O4" s="3"/>
      <c r="P4" s="6"/>
      <c r="Q4" s="6"/>
      <c r="R4" s="6"/>
      <c r="S4" s="6"/>
      <c r="T4" s="6"/>
      <c r="U4" s="6"/>
      <c r="V4" s="6"/>
      <c r="W4" s="28"/>
      <c r="X4" s="6" t="s">
        <v>17</v>
      </c>
      <c r="Y4" s="6"/>
      <c r="Z4" s="6"/>
      <c r="AA4" s="8"/>
      <c r="AB4" s="9"/>
      <c r="AC4" s="10"/>
      <c r="AD4" s="17"/>
      <c r="AE4" s="6"/>
      <c r="AF4" s="6"/>
      <c r="AG4" s="1"/>
      <c r="AH4" s="29"/>
      <c r="AI4" s="30"/>
      <c r="AJ4" s="31"/>
      <c r="AK4" s="32"/>
      <c r="AL4" s="31"/>
      <c r="AM4" s="32"/>
      <c r="AN4" s="32"/>
      <c r="AO4" s="30" t="str">
        <f>TEXT(AN4/12,"hh:mm:ss")</f>
        <v>00:00:00</v>
      </c>
      <c r="AP4" s="33" t="s">
        <v>18</v>
      </c>
      <c r="AQ4" s="34"/>
      <c r="AR4" s="14"/>
      <c r="AS4" s="4"/>
      <c r="AT4" s="4"/>
      <c r="AU4" s="4"/>
      <c r="AV4" s="4"/>
      <c r="AW4" s="4"/>
      <c r="AX4" s="4"/>
    </row>
    <row r="5" spans="1:50" x14ac:dyDescent="0.3">
      <c r="A5" s="35"/>
      <c r="B5" s="24"/>
      <c r="C5" s="4"/>
      <c r="D5" s="2"/>
      <c r="E5" s="3"/>
      <c r="F5" s="4"/>
      <c r="G5" s="5"/>
      <c r="H5" s="3"/>
      <c r="I5" s="3"/>
      <c r="J5" s="3"/>
      <c r="K5" s="3"/>
      <c r="L5" s="3"/>
      <c r="M5" s="3"/>
      <c r="N5" s="6"/>
      <c r="O5" s="3"/>
      <c r="P5" s="6"/>
      <c r="Q5" s="6"/>
      <c r="R5" s="6"/>
      <c r="S5" s="6"/>
      <c r="T5" s="6"/>
      <c r="U5" s="6"/>
      <c r="V5" s="6"/>
      <c r="W5" s="36"/>
      <c r="X5" s="6" t="s">
        <v>19</v>
      </c>
      <c r="Y5" s="6"/>
      <c r="Z5" s="6"/>
      <c r="AA5" s="8"/>
      <c r="AB5" s="9"/>
      <c r="AC5" s="10"/>
      <c r="AD5" s="17"/>
      <c r="AE5" s="6"/>
      <c r="AF5" s="6"/>
      <c r="AG5" s="1"/>
      <c r="AH5" s="34"/>
      <c r="AI5" s="4"/>
      <c r="AJ5" s="4"/>
      <c r="AK5" s="4"/>
      <c r="AL5" s="4"/>
      <c r="AM5" s="4"/>
      <c r="AN5" s="4"/>
      <c r="AO5" s="4"/>
      <c r="AP5" s="4"/>
      <c r="AQ5" s="34"/>
      <c r="AR5" s="4"/>
      <c r="AS5" s="4"/>
      <c r="AT5" s="4"/>
      <c r="AU5" s="4"/>
      <c r="AV5" s="4"/>
      <c r="AW5" s="4"/>
      <c r="AX5" s="4"/>
    </row>
    <row r="6" spans="1:50" ht="15" thickBot="1" x14ac:dyDescent="0.35">
      <c r="A6" s="35"/>
      <c r="B6" s="24"/>
      <c r="C6" s="4"/>
      <c r="D6" s="2"/>
      <c r="E6" s="3"/>
      <c r="F6" s="4"/>
      <c r="G6" s="5"/>
      <c r="H6" s="3"/>
      <c r="I6" s="3"/>
      <c r="J6" s="3"/>
      <c r="K6" s="3"/>
      <c r="L6" s="3"/>
      <c r="M6" s="3"/>
      <c r="N6" s="6"/>
      <c r="O6" s="3"/>
      <c r="P6" s="6"/>
      <c r="Q6" s="6"/>
      <c r="R6" s="6"/>
      <c r="S6" s="6"/>
      <c r="T6" s="6"/>
      <c r="U6" s="6"/>
      <c r="V6" s="6"/>
      <c r="W6" s="37"/>
      <c r="X6" s="6" t="s">
        <v>20</v>
      </c>
      <c r="Y6" s="6"/>
      <c r="Z6" s="6"/>
      <c r="AA6" s="8"/>
      <c r="AB6" s="9"/>
      <c r="AC6" s="10"/>
      <c r="AD6" s="17"/>
      <c r="AE6" s="6"/>
      <c r="AF6" s="6"/>
      <c r="AG6" s="1"/>
      <c r="AH6" s="34"/>
      <c r="AI6" s="4"/>
      <c r="AJ6" s="4"/>
      <c r="AK6" s="4"/>
      <c r="AL6" s="4"/>
      <c r="AM6" s="4"/>
      <c r="AN6" s="4"/>
      <c r="AO6" s="4"/>
      <c r="AP6" s="4"/>
      <c r="AQ6" s="34"/>
      <c r="AR6" s="4"/>
      <c r="AS6" s="4"/>
      <c r="AT6" s="4"/>
      <c r="AU6" s="4"/>
      <c r="AV6" s="4"/>
      <c r="AW6" s="4"/>
      <c r="AX6" s="4"/>
    </row>
    <row r="7" spans="1:50" ht="15" thickBot="1" x14ac:dyDescent="0.35">
      <c r="A7" s="1"/>
      <c r="B7" s="24"/>
      <c r="C7" s="4"/>
      <c r="D7" s="2"/>
      <c r="E7" s="3"/>
      <c r="F7" s="4"/>
      <c r="G7" s="5"/>
      <c r="H7" s="3"/>
      <c r="I7" s="3"/>
      <c r="J7" s="3"/>
      <c r="K7" s="3"/>
      <c r="L7" s="3"/>
      <c r="M7" s="3"/>
      <c r="N7" s="6"/>
      <c r="O7" s="3"/>
      <c r="P7" s="6"/>
      <c r="Q7" s="6"/>
      <c r="R7" s="6"/>
      <c r="S7" s="6"/>
      <c r="T7" s="6"/>
      <c r="U7" s="6"/>
      <c r="V7" s="6"/>
      <c r="W7" s="6"/>
      <c r="X7" s="6"/>
      <c r="Y7" s="6"/>
      <c r="Z7" s="6"/>
      <c r="AA7" s="8"/>
      <c r="AB7" s="9"/>
      <c r="AC7" s="10"/>
      <c r="AD7" s="17"/>
      <c r="AE7" s="38" t="s">
        <v>21</v>
      </c>
      <c r="AF7" s="6"/>
      <c r="AG7" s="1"/>
      <c r="AH7" s="34"/>
      <c r="AI7" s="4"/>
      <c r="AJ7" s="192" t="s">
        <v>22</v>
      </c>
      <c r="AK7" s="193"/>
      <c r="AL7" s="193"/>
      <c r="AM7" s="193"/>
      <c r="AN7" s="194"/>
      <c r="AO7" s="39" t="s">
        <v>23</v>
      </c>
      <c r="AP7" s="4"/>
      <c r="AQ7" s="40" t="s">
        <v>24</v>
      </c>
      <c r="AR7" s="195" t="s">
        <v>25</v>
      </c>
      <c r="AS7" s="196"/>
      <c r="AT7" s="191"/>
      <c r="AU7" s="197" t="s">
        <v>26</v>
      </c>
      <c r="AV7" s="196"/>
      <c r="AW7" s="191"/>
      <c r="AX7" s="4"/>
    </row>
    <row r="8" spans="1:50" ht="21.6" customHeight="1" x14ac:dyDescent="0.3">
      <c r="A8" s="43" t="s">
        <v>27</v>
      </c>
      <c r="B8" s="24"/>
      <c r="C8" s="43" t="s">
        <v>28</v>
      </c>
      <c r="D8" s="43" t="s">
        <v>29</v>
      </c>
      <c r="E8" s="38" t="s">
        <v>30</v>
      </c>
      <c r="F8" s="43" t="s">
        <v>31</v>
      </c>
      <c r="G8" s="44"/>
      <c r="H8" s="38"/>
      <c r="I8" s="38"/>
      <c r="J8" s="198" t="s">
        <v>32</v>
      </c>
      <c r="K8" s="199"/>
      <c r="L8" s="4"/>
      <c r="M8" s="38"/>
      <c r="N8" s="38" t="s">
        <v>33</v>
      </c>
      <c r="O8" s="38"/>
      <c r="P8" s="45" t="s">
        <v>34</v>
      </c>
      <c r="Q8" s="38" t="s">
        <v>35</v>
      </c>
      <c r="R8" s="38" t="s">
        <v>36</v>
      </c>
      <c r="S8" s="45" t="s">
        <v>37</v>
      </c>
      <c r="T8" s="46" t="s">
        <v>38</v>
      </c>
      <c r="U8" s="38" t="s">
        <v>39</v>
      </c>
      <c r="V8" s="38" t="s">
        <v>40</v>
      </c>
      <c r="W8" s="38" t="s">
        <v>39</v>
      </c>
      <c r="X8" s="38" t="s">
        <v>40</v>
      </c>
      <c r="Y8" s="38" t="s">
        <v>41</v>
      </c>
      <c r="Z8" s="38" t="s">
        <v>42</v>
      </c>
      <c r="AA8" s="47" t="s">
        <v>43</v>
      </c>
      <c r="AB8" s="200" t="s">
        <v>44</v>
      </c>
      <c r="AC8" s="199"/>
      <c r="AD8" s="48" t="s">
        <v>45</v>
      </c>
      <c r="AE8" s="38" t="s">
        <v>46</v>
      </c>
      <c r="AF8" s="38" t="s">
        <v>47</v>
      </c>
      <c r="AG8" s="35" t="s">
        <v>48</v>
      </c>
      <c r="AH8" s="43" t="s">
        <v>49</v>
      </c>
      <c r="AJ8" s="49" t="s">
        <v>43</v>
      </c>
      <c r="AK8" s="50" t="s">
        <v>50</v>
      </c>
      <c r="AL8" s="50" t="s">
        <v>43</v>
      </c>
      <c r="AM8" s="50" t="s">
        <v>51</v>
      </c>
      <c r="AN8" s="51" t="s">
        <v>52</v>
      </c>
      <c r="AO8" s="52" t="s">
        <v>53</v>
      </c>
      <c r="AP8" s="53" t="s">
        <v>54</v>
      </c>
      <c r="AQ8" s="40" t="s">
        <v>55</v>
      </c>
      <c r="AR8" s="41" t="s">
        <v>56</v>
      </c>
      <c r="AS8" s="54" t="s">
        <v>57</v>
      </c>
      <c r="AT8" s="55" t="s">
        <v>58</v>
      </c>
      <c r="AU8" s="42" t="s">
        <v>56</v>
      </c>
      <c r="AV8" s="54" t="s">
        <v>57</v>
      </c>
      <c r="AW8" s="55" t="s">
        <v>58</v>
      </c>
      <c r="AX8" s="4"/>
    </row>
    <row r="9" spans="1:50" ht="15" thickBot="1" x14ac:dyDescent="0.35">
      <c r="A9" s="1"/>
      <c r="B9" s="24"/>
      <c r="C9" s="4"/>
      <c r="D9" s="56"/>
      <c r="E9" s="34"/>
      <c r="F9" s="4"/>
      <c r="G9" s="5" t="s">
        <v>59</v>
      </c>
      <c r="H9" s="3" t="s">
        <v>60</v>
      </c>
      <c r="I9" s="3" t="s">
        <v>61</v>
      </c>
      <c r="J9" s="3" t="s">
        <v>62</v>
      </c>
      <c r="K9" s="3" t="s">
        <v>63</v>
      </c>
      <c r="L9" s="3" t="s">
        <v>64</v>
      </c>
      <c r="M9" s="3" t="s">
        <v>65</v>
      </c>
      <c r="N9" s="3" t="s">
        <v>66</v>
      </c>
      <c r="O9" s="3" t="s">
        <v>67</v>
      </c>
      <c r="P9" s="57" t="s">
        <v>68</v>
      </c>
      <c r="Q9" s="6"/>
      <c r="R9" s="6"/>
      <c r="S9" s="6"/>
      <c r="T9" s="58"/>
      <c r="U9" s="3" t="s">
        <v>69</v>
      </c>
      <c r="V9" s="3" t="s">
        <v>69</v>
      </c>
      <c r="W9" s="3" t="s">
        <v>70</v>
      </c>
      <c r="X9" s="3" t="s">
        <v>70</v>
      </c>
      <c r="Y9" s="6"/>
      <c r="Z9" s="6"/>
      <c r="AA9" s="8"/>
      <c r="AB9" s="9"/>
      <c r="AC9" s="10"/>
      <c r="AD9" s="17"/>
      <c r="AE9" s="6"/>
      <c r="AF9" s="4"/>
      <c r="AG9" s="1"/>
      <c r="AH9" s="4"/>
      <c r="AI9" s="4"/>
      <c r="AJ9" s="187" t="s">
        <v>71</v>
      </c>
      <c r="AK9" s="188"/>
      <c r="AL9" s="189" t="s">
        <v>72</v>
      </c>
      <c r="AM9" s="188"/>
      <c r="AN9" s="59" t="s">
        <v>73</v>
      </c>
      <c r="AO9" s="60" t="s">
        <v>73</v>
      </c>
      <c r="AP9" s="4"/>
      <c r="AQ9" s="61" t="s">
        <v>74</v>
      </c>
      <c r="AR9" s="62"/>
      <c r="AS9" s="4"/>
      <c r="AT9" s="4"/>
      <c r="AU9" s="4"/>
      <c r="AV9" s="4"/>
      <c r="AW9" s="4"/>
      <c r="AX9" s="4"/>
    </row>
    <row r="10" spans="1:50" x14ac:dyDescent="0.3">
      <c r="A10" s="63"/>
      <c r="B10" s="64"/>
      <c r="C10" s="65"/>
      <c r="D10" s="66"/>
      <c r="E10" s="67"/>
      <c r="F10" s="65"/>
      <c r="G10" s="68"/>
      <c r="H10" s="69"/>
      <c r="I10" s="69"/>
      <c r="J10" s="69"/>
      <c r="K10" s="69"/>
      <c r="L10" s="69"/>
      <c r="M10" s="69"/>
      <c r="N10" s="69"/>
      <c r="O10" s="69"/>
      <c r="P10" s="69"/>
      <c r="Q10" s="69"/>
      <c r="R10" s="69"/>
      <c r="S10" s="69"/>
      <c r="T10" s="69"/>
      <c r="U10" s="69"/>
      <c r="V10" s="69"/>
      <c r="W10" s="69"/>
      <c r="X10" s="69"/>
      <c r="Y10" s="69"/>
      <c r="Z10" s="69"/>
      <c r="AA10" s="70"/>
      <c r="AB10" s="71"/>
      <c r="AC10" s="72"/>
      <c r="AD10" s="73"/>
      <c r="AE10" s="69"/>
      <c r="AF10" s="69"/>
      <c r="AG10" s="1"/>
      <c r="AH10" s="4"/>
      <c r="AI10" s="4"/>
      <c r="AJ10" s="4"/>
      <c r="AK10" s="4"/>
      <c r="AL10" s="4"/>
      <c r="AM10" s="4"/>
      <c r="AN10" s="4"/>
      <c r="AO10" s="4"/>
      <c r="AP10" s="4"/>
      <c r="AQ10" s="34"/>
      <c r="AR10" s="4"/>
      <c r="AS10" s="4"/>
      <c r="AT10" s="4"/>
      <c r="AU10" s="4"/>
      <c r="AV10" s="4"/>
      <c r="AW10" s="4"/>
      <c r="AX10" s="4"/>
    </row>
    <row r="11" spans="1:50" x14ac:dyDescent="0.3">
      <c r="A11" s="63"/>
      <c r="B11" s="64"/>
      <c r="C11" s="74" t="s">
        <v>75</v>
      </c>
      <c r="D11" s="66" t="s">
        <v>76</v>
      </c>
      <c r="E11" s="67"/>
      <c r="F11" s="65"/>
      <c r="G11" s="68"/>
      <c r="H11" s="69"/>
      <c r="I11" s="69"/>
      <c r="J11" s="69"/>
      <c r="K11" s="69"/>
      <c r="L11" s="69"/>
      <c r="M11" s="69"/>
      <c r="N11" s="69"/>
      <c r="O11" s="69"/>
      <c r="P11" s="69"/>
      <c r="Q11" s="69"/>
      <c r="R11" s="69"/>
      <c r="S11" s="69"/>
      <c r="T11" s="69"/>
      <c r="U11" s="69"/>
      <c r="V11" s="69"/>
      <c r="W11" s="69"/>
      <c r="X11" s="69"/>
      <c r="Y11" s="69"/>
      <c r="Z11" s="69"/>
      <c r="AA11" s="70"/>
      <c r="AB11" s="71"/>
      <c r="AC11" s="72"/>
      <c r="AD11" s="73"/>
      <c r="AE11" s="69">
        <f t="shared" ref="AE11:AE59" si="0">T11-N11</f>
        <v>0</v>
      </c>
      <c r="AF11" s="69"/>
      <c r="AG11" s="1"/>
      <c r="AH11" s="4"/>
      <c r="AI11" s="4"/>
      <c r="AJ11" s="4"/>
      <c r="AK11" s="4"/>
      <c r="AL11" s="4"/>
      <c r="AM11" s="4"/>
      <c r="AN11" s="4"/>
      <c r="AO11" s="4"/>
      <c r="AP11" s="4"/>
      <c r="AQ11" s="34"/>
      <c r="AR11" s="4"/>
      <c r="AS11" s="4"/>
      <c r="AT11" s="4"/>
      <c r="AU11" s="4"/>
      <c r="AV11" s="4"/>
      <c r="AW11" s="4"/>
      <c r="AX11" s="4"/>
    </row>
    <row r="12" spans="1:50" x14ac:dyDescent="0.3">
      <c r="A12" s="63"/>
      <c r="B12" s="64"/>
      <c r="C12" s="65"/>
      <c r="D12" s="66"/>
      <c r="E12" s="67"/>
      <c r="F12" s="65"/>
      <c r="G12" s="68"/>
      <c r="H12" s="69"/>
      <c r="I12" s="69"/>
      <c r="J12" s="69"/>
      <c r="K12" s="69"/>
      <c r="L12" s="69"/>
      <c r="M12" s="69"/>
      <c r="N12" s="69"/>
      <c r="O12" s="69"/>
      <c r="P12" s="69"/>
      <c r="Q12" s="69"/>
      <c r="R12" s="69"/>
      <c r="S12" s="69"/>
      <c r="T12" s="69"/>
      <c r="U12" s="69"/>
      <c r="V12" s="69"/>
      <c r="W12" s="69"/>
      <c r="X12" s="69"/>
      <c r="Y12" s="69"/>
      <c r="Z12" s="69"/>
      <c r="AA12" s="70"/>
      <c r="AB12" s="71"/>
      <c r="AC12" s="72"/>
      <c r="AD12" s="73"/>
      <c r="AE12" s="69">
        <f t="shared" si="0"/>
        <v>0</v>
      </c>
      <c r="AF12" s="69"/>
      <c r="AG12" s="1"/>
      <c r="AH12" s="4"/>
      <c r="AI12" s="4"/>
      <c r="AJ12" s="4"/>
      <c r="AK12" s="4"/>
      <c r="AL12" s="4"/>
      <c r="AM12" s="4"/>
      <c r="AN12" s="4"/>
      <c r="AO12" s="4"/>
      <c r="AP12" s="4"/>
      <c r="AQ12" s="34"/>
      <c r="AR12" s="4"/>
      <c r="AS12" s="4"/>
      <c r="AT12" s="4"/>
      <c r="AU12" s="4"/>
      <c r="AV12" s="4"/>
      <c r="AW12" s="4"/>
      <c r="AX12" s="4"/>
    </row>
    <row r="13" spans="1:50" x14ac:dyDescent="0.3">
      <c r="A13" s="63"/>
      <c r="B13" s="64"/>
      <c r="C13" s="65" t="s">
        <v>77</v>
      </c>
      <c r="D13" s="66"/>
      <c r="E13" s="67"/>
      <c r="F13" s="65" t="s">
        <v>78</v>
      </c>
      <c r="G13" s="68" t="s">
        <v>79</v>
      </c>
      <c r="H13" s="69"/>
      <c r="I13" s="69"/>
      <c r="J13" s="69"/>
      <c r="K13" s="69"/>
      <c r="L13" s="69"/>
      <c r="M13" s="73">
        <f t="shared" ref="M13:M46" si="1">(T13-R13)-Z13</f>
        <v>0</v>
      </c>
      <c r="N13" s="69">
        <f t="shared" ref="N13:N59" si="2">SUM(H13:L13)</f>
        <v>0</v>
      </c>
      <c r="O13" s="69"/>
      <c r="P13" s="69"/>
      <c r="Q13" s="69"/>
      <c r="R13" s="69">
        <f t="shared" ref="R13:R59" si="3">+N13+SUM(O13:Q13)</f>
        <v>0</v>
      </c>
      <c r="S13" s="69"/>
      <c r="T13" s="69"/>
      <c r="U13" s="69"/>
      <c r="V13" s="69"/>
      <c r="W13" s="69"/>
      <c r="X13" s="69"/>
      <c r="Y13" s="69"/>
      <c r="Z13" s="69"/>
      <c r="AA13" s="70"/>
      <c r="AB13" s="71"/>
      <c r="AC13" s="72"/>
      <c r="AD13" s="73">
        <v>7743000</v>
      </c>
      <c r="AE13" s="69">
        <f t="shared" si="0"/>
        <v>0</v>
      </c>
      <c r="AF13" s="69">
        <f>AD13-AE13</f>
        <v>7743000</v>
      </c>
      <c r="AG13" s="1"/>
      <c r="AH13" s="4"/>
      <c r="AI13" s="4"/>
      <c r="AJ13" s="4"/>
      <c r="AK13" s="4"/>
      <c r="AL13" s="4"/>
      <c r="AM13" s="4"/>
      <c r="AN13" s="4"/>
      <c r="AO13" s="4"/>
      <c r="AP13" s="4"/>
      <c r="AQ13" s="34"/>
      <c r="AR13" s="34"/>
      <c r="AS13" s="34"/>
      <c r="AT13" s="34"/>
      <c r="AU13" s="34"/>
      <c r="AV13" s="34"/>
      <c r="AW13" s="34"/>
      <c r="AX13" s="4"/>
    </row>
    <row r="14" spans="1:50" x14ac:dyDescent="0.3">
      <c r="A14" s="75" t="s">
        <v>80</v>
      </c>
      <c r="B14" s="64" t="s">
        <v>81</v>
      </c>
      <c r="C14" s="65" t="s">
        <v>82</v>
      </c>
      <c r="D14" s="69" t="s">
        <v>83</v>
      </c>
      <c r="E14" s="63" t="s">
        <v>84</v>
      </c>
      <c r="F14" s="65" t="s">
        <v>85</v>
      </c>
      <c r="G14" s="68" t="s">
        <v>79</v>
      </c>
      <c r="H14" s="69"/>
      <c r="I14" s="69"/>
      <c r="J14" s="69">
        <v>3111.58</v>
      </c>
      <c r="K14" s="69"/>
      <c r="L14" s="69"/>
      <c r="M14" s="73">
        <f t="shared" si="1"/>
        <v>0</v>
      </c>
      <c r="N14" s="69">
        <f t="shared" si="2"/>
        <v>3111.58</v>
      </c>
      <c r="O14" s="69"/>
      <c r="P14" s="69"/>
      <c r="Q14" s="69"/>
      <c r="R14" s="69">
        <f t="shared" si="3"/>
        <v>3111.58</v>
      </c>
      <c r="S14" s="69"/>
      <c r="T14" s="69">
        <v>117171.93</v>
      </c>
      <c r="U14" s="69"/>
      <c r="V14" s="69"/>
      <c r="W14" s="69"/>
      <c r="X14" s="69"/>
      <c r="Y14" s="69">
        <v>117171.93</v>
      </c>
      <c r="Z14" s="69">
        <v>114060.35</v>
      </c>
      <c r="AA14" s="70">
        <v>46031</v>
      </c>
      <c r="AB14" s="76" t="s">
        <v>80</v>
      </c>
      <c r="AC14" s="72" t="s">
        <v>86</v>
      </c>
      <c r="AD14" s="73"/>
      <c r="AE14" s="69">
        <f t="shared" si="0"/>
        <v>114060.34999999999</v>
      </c>
      <c r="AF14" s="69">
        <f t="shared" ref="AF14:AF77" si="4">+AF13+AD14-AE14</f>
        <v>7628939.6500000004</v>
      </c>
      <c r="AG14" s="1">
        <v>50204020</v>
      </c>
      <c r="AH14" s="6"/>
      <c r="AI14" s="4"/>
      <c r="AJ14" s="77">
        <v>46031</v>
      </c>
      <c r="AK14" s="78">
        <v>0.45833333333333331</v>
      </c>
      <c r="AL14" s="77">
        <v>46031</v>
      </c>
      <c r="AM14" s="78">
        <v>0.66319444444444442</v>
      </c>
      <c r="AN14" s="14" t="str">
        <f t="shared" ref="AN14:AN21" si="5">+TEXT(AM14-AK14-$AH$2,"h:mm")</f>
        <v>3:55</v>
      </c>
      <c r="AO14" s="14">
        <f t="shared" ref="AO14:AO21" si="6">+AN14/8</f>
        <v>2.0399305555555556E-2</v>
      </c>
      <c r="AP14" s="4"/>
      <c r="AQ14" s="34" t="s">
        <v>87</v>
      </c>
      <c r="AR14" s="34"/>
      <c r="AS14" s="69">
        <v>114060.35</v>
      </c>
      <c r="AT14" s="34"/>
      <c r="AU14" s="34"/>
      <c r="AV14" s="34"/>
      <c r="AW14" s="34"/>
      <c r="AX14" s="4"/>
    </row>
    <row r="15" spans="1:50" x14ac:dyDescent="0.3">
      <c r="A15" s="75" t="s">
        <v>80</v>
      </c>
      <c r="B15" s="64" t="s">
        <v>88</v>
      </c>
      <c r="C15" s="65" t="s">
        <v>82</v>
      </c>
      <c r="D15" s="69" t="s">
        <v>83</v>
      </c>
      <c r="E15" s="63" t="s">
        <v>89</v>
      </c>
      <c r="F15" s="65" t="s">
        <v>90</v>
      </c>
      <c r="G15" s="68" t="s">
        <v>79</v>
      </c>
      <c r="H15" s="69"/>
      <c r="I15" s="69"/>
      <c r="J15" s="69">
        <v>3.97</v>
      </c>
      <c r="K15" s="69"/>
      <c r="L15" s="69"/>
      <c r="M15" s="73">
        <f t="shared" si="1"/>
        <v>0</v>
      </c>
      <c r="N15" s="69">
        <f t="shared" si="2"/>
        <v>3.97</v>
      </c>
      <c r="O15" s="69"/>
      <c r="P15" s="69"/>
      <c r="Q15" s="69"/>
      <c r="R15" s="69">
        <f t="shared" si="3"/>
        <v>3.97</v>
      </c>
      <c r="S15" s="69"/>
      <c r="T15" s="69">
        <v>89.43</v>
      </c>
      <c r="U15" s="69"/>
      <c r="V15" s="69"/>
      <c r="W15" s="69"/>
      <c r="X15" s="69"/>
      <c r="Y15" s="69">
        <v>89.43</v>
      </c>
      <c r="Z15" s="69">
        <v>85.46</v>
      </c>
      <c r="AA15" s="70">
        <v>46031</v>
      </c>
      <c r="AB15" s="76" t="s">
        <v>80</v>
      </c>
      <c r="AC15" s="72" t="s">
        <v>91</v>
      </c>
      <c r="AD15" s="73"/>
      <c r="AE15" s="69">
        <f t="shared" si="0"/>
        <v>85.460000000000008</v>
      </c>
      <c r="AF15" s="69">
        <f t="shared" si="4"/>
        <v>7628854.1900000004</v>
      </c>
      <c r="AG15" s="1">
        <v>50204020</v>
      </c>
      <c r="AH15" s="6"/>
      <c r="AI15" s="4"/>
      <c r="AJ15" s="77">
        <v>46031</v>
      </c>
      <c r="AK15" s="78">
        <v>0.45833333333333331</v>
      </c>
      <c r="AL15" s="77">
        <v>46031</v>
      </c>
      <c r="AM15" s="78">
        <v>0.66319444444444442</v>
      </c>
      <c r="AN15" s="14" t="str">
        <f t="shared" si="5"/>
        <v>3:55</v>
      </c>
      <c r="AO15" s="14">
        <f t="shared" si="6"/>
        <v>2.0399305555555556E-2</v>
      </c>
      <c r="AP15" s="4"/>
      <c r="AQ15" s="34" t="s">
        <v>87</v>
      </c>
      <c r="AR15" s="34"/>
      <c r="AS15" s="69">
        <v>85.46</v>
      </c>
      <c r="AT15" s="34"/>
      <c r="AU15" s="34"/>
      <c r="AV15" s="34"/>
      <c r="AW15" s="34"/>
      <c r="AX15" s="4"/>
    </row>
    <row r="16" spans="1:50" x14ac:dyDescent="0.3">
      <c r="A16" s="75" t="s">
        <v>80</v>
      </c>
      <c r="B16" s="64" t="s">
        <v>92</v>
      </c>
      <c r="C16" s="65" t="s">
        <v>82</v>
      </c>
      <c r="D16" s="69" t="s">
        <v>93</v>
      </c>
      <c r="E16" s="63" t="s">
        <v>94</v>
      </c>
      <c r="F16" s="65" t="s">
        <v>95</v>
      </c>
      <c r="G16" s="68" t="s">
        <v>79</v>
      </c>
      <c r="H16" s="69"/>
      <c r="I16" s="69"/>
      <c r="J16" s="69">
        <v>49.02</v>
      </c>
      <c r="K16" s="69"/>
      <c r="L16" s="69"/>
      <c r="M16" s="73">
        <f t="shared" si="1"/>
        <v>0</v>
      </c>
      <c r="N16" s="69">
        <f t="shared" si="2"/>
        <v>49.02</v>
      </c>
      <c r="O16" s="69"/>
      <c r="P16" s="69"/>
      <c r="Q16" s="69"/>
      <c r="R16" s="69">
        <f t="shared" si="3"/>
        <v>49.02</v>
      </c>
      <c r="S16" s="69"/>
      <c r="T16" s="69">
        <v>1969.37</v>
      </c>
      <c r="U16" s="69"/>
      <c r="V16" s="69"/>
      <c r="W16" s="69"/>
      <c r="X16" s="69"/>
      <c r="Y16" s="69">
        <v>1969.37</v>
      </c>
      <c r="Z16" s="69">
        <v>1920.35</v>
      </c>
      <c r="AA16" s="70">
        <v>46031</v>
      </c>
      <c r="AB16" s="76" t="s">
        <v>80</v>
      </c>
      <c r="AC16" s="72" t="s">
        <v>96</v>
      </c>
      <c r="AD16" s="73"/>
      <c r="AE16" s="69">
        <f t="shared" si="0"/>
        <v>1920.35</v>
      </c>
      <c r="AF16" s="69">
        <f t="shared" si="4"/>
        <v>7626933.8400000008</v>
      </c>
      <c r="AG16" s="1">
        <v>50204020</v>
      </c>
      <c r="AH16" s="6"/>
      <c r="AI16" s="4"/>
      <c r="AJ16" s="77">
        <v>46031</v>
      </c>
      <c r="AK16" s="78">
        <v>0.45833333333333331</v>
      </c>
      <c r="AL16" s="77">
        <v>46031</v>
      </c>
      <c r="AM16" s="78">
        <v>0.66319444444444442</v>
      </c>
      <c r="AN16" s="14" t="str">
        <f t="shared" si="5"/>
        <v>3:55</v>
      </c>
      <c r="AO16" s="14">
        <f t="shared" si="6"/>
        <v>2.0399305555555556E-2</v>
      </c>
      <c r="AP16" s="4"/>
      <c r="AQ16" s="34" t="s">
        <v>87</v>
      </c>
      <c r="AR16" s="34"/>
      <c r="AS16" s="69">
        <v>1920.35</v>
      </c>
      <c r="AT16" s="34"/>
      <c r="AU16" s="34"/>
      <c r="AV16" s="34"/>
      <c r="AW16" s="34"/>
      <c r="AX16" s="4"/>
    </row>
    <row r="17" spans="1:50" x14ac:dyDescent="0.3">
      <c r="A17" s="75" t="s">
        <v>80</v>
      </c>
      <c r="B17" s="65" t="s">
        <v>97</v>
      </c>
      <c r="C17" s="65" t="s">
        <v>98</v>
      </c>
      <c r="D17" s="69" t="s">
        <v>83</v>
      </c>
      <c r="E17" s="63" t="s">
        <v>99</v>
      </c>
      <c r="F17" s="65" t="s">
        <v>100</v>
      </c>
      <c r="G17" s="68" t="s">
        <v>79</v>
      </c>
      <c r="H17" s="73"/>
      <c r="I17" s="73"/>
      <c r="J17" s="73">
        <v>228.21</v>
      </c>
      <c r="K17" s="73"/>
      <c r="L17" s="73"/>
      <c r="M17" s="73">
        <f t="shared" si="1"/>
        <v>0</v>
      </c>
      <c r="N17" s="69">
        <f t="shared" si="2"/>
        <v>228.21</v>
      </c>
      <c r="O17" s="69"/>
      <c r="P17" s="69"/>
      <c r="Q17" s="69"/>
      <c r="R17" s="69">
        <f t="shared" si="3"/>
        <v>228.21</v>
      </c>
      <c r="S17" s="73"/>
      <c r="T17" s="73">
        <v>5945.19</v>
      </c>
      <c r="U17" s="73"/>
      <c r="V17" s="73"/>
      <c r="W17" s="73"/>
      <c r="X17" s="73"/>
      <c r="Y17" s="73">
        <v>5945.19</v>
      </c>
      <c r="Z17" s="73">
        <v>5716.98</v>
      </c>
      <c r="AA17" s="70">
        <v>46031</v>
      </c>
      <c r="AB17" s="76" t="s">
        <v>80</v>
      </c>
      <c r="AC17" s="72" t="s">
        <v>101</v>
      </c>
      <c r="AD17" s="73"/>
      <c r="AE17" s="69">
        <f t="shared" si="0"/>
        <v>5716.98</v>
      </c>
      <c r="AF17" s="69">
        <f t="shared" si="4"/>
        <v>7621216.8600000003</v>
      </c>
      <c r="AG17" s="1">
        <v>50204020</v>
      </c>
      <c r="AH17" s="6"/>
      <c r="AI17" s="4"/>
      <c r="AJ17" s="77">
        <v>46031</v>
      </c>
      <c r="AK17" s="78">
        <v>0.45833333333333331</v>
      </c>
      <c r="AL17" s="77">
        <v>46031</v>
      </c>
      <c r="AM17" s="78">
        <v>0.66319444444444442</v>
      </c>
      <c r="AN17" s="14" t="str">
        <f t="shared" si="5"/>
        <v>3:55</v>
      </c>
      <c r="AO17" s="14">
        <f t="shared" si="6"/>
        <v>2.0399305555555556E-2</v>
      </c>
      <c r="AP17" s="4"/>
      <c r="AQ17" s="34" t="s">
        <v>102</v>
      </c>
      <c r="AR17" s="34"/>
      <c r="AS17" s="73">
        <v>5716.98</v>
      </c>
      <c r="AT17" s="34"/>
      <c r="AU17" s="34"/>
      <c r="AV17" s="34"/>
      <c r="AW17" s="34"/>
      <c r="AX17" s="4"/>
    </row>
    <row r="18" spans="1:50" x14ac:dyDescent="0.3">
      <c r="A18" s="75" t="s">
        <v>80</v>
      </c>
      <c r="B18" s="65" t="s">
        <v>103</v>
      </c>
      <c r="C18" s="65" t="s">
        <v>104</v>
      </c>
      <c r="D18" s="69" t="s">
        <v>83</v>
      </c>
      <c r="E18" s="63" t="s">
        <v>105</v>
      </c>
      <c r="F18" s="65" t="s">
        <v>106</v>
      </c>
      <c r="G18" s="68" t="s">
        <v>79</v>
      </c>
      <c r="H18" s="73"/>
      <c r="I18" s="73">
        <v>26.79</v>
      </c>
      <c r="J18" s="73">
        <v>66.959999999999994</v>
      </c>
      <c r="K18" s="73"/>
      <c r="L18" s="73"/>
      <c r="M18" s="73">
        <f t="shared" si="1"/>
        <v>0</v>
      </c>
      <c r="N18" s="69">
        <f t="shared" si="2"/>
        <v>93.75</v>
      </c>
      <c r="O18" s="69"/>
      <c r="P18" s="69"/>
      <c r="Q18" s="69"/>
      <c r="R18" s="69">
        <f t="shared" si="3"/>
        <v>93.75</v>
      </c>
      <c r="S18" s="73"/>
      <c r="T18" s="73">
        <v>1500</v>
      </c>
      <c r="U18" s="73"/>
      <c r="V18" s="73"/>
      <c r="W18" s="73"/>
      <c r="X18" s="73"/>
      <c r="Y18" s="73">
        <v>1500</v>
      </c>
      <c r="Z18" s="73">
        <v>1406.25</v>
      </c>
      <c r="AA18" s="70">
        <v>46031</v>
      </c>
      <c r="AB18" s="76" t="s">
        <v>80</v>
      </c>
      <c r="AC18" s="72" t="s">
        <v>107</v>
      </c>
      <c r="AD18" s="73"/>
      <c r="AE18" s="69">
        <f t="shared" si="0"/>
        <v>1406.25</v>
      </c>
      <c r="AF18" s="69">
        <f t="shared" si="4"/>
        <v>7619810.6100000003</v>
      </c>
      <c r="AG18" s="1">
        <v>50205020</v>
      </c>
      <c r="AH18" s="6"/>
      <c r="AI18" s="4"/>
      <c r="AJ18" s="77">
        <v>46031</v>
      </c>
      <c r="AK18" s="78">
        <v>0.45833333333333331</v>
      </c>
      <c r="AL18" s="77">
        <v>46031</v>
      </c>
      <c r="AM18" s="78">
        <v>0.66319444444444442</v>
      </c>
      <c r="AN18" s="14" t="str">
        <f t="shared" si="5"/>
        <v>3:55</v>
      </c>
      <c r="AO18" s="14">
        <f t="shared" si="6"/>
        <v>2.0399305555555556E-2</v>
      </c>
      <c r="AP18" s="4"/>
      <c r="AQ18" s="34" t="s">
        <v>87</v>
      </c>
      <c r="AR18" s="34"/>
      <c r="AS18" s="73">
        <v>1406.25</v>
      </c>
      <c r="AT18" s="34"/>
      <c r="AU18" s="34"/>
      <c r="AV18" s="34"/>
      <c r="AW18" s="34"/>
      <c r="AX18" s="4"/>
    </row>
    <row r="19" spans="1:50" x14ac:dyDescent="0.3">
      <c r="A19" s="75" t="s">
        <v>80</v>
      </c>
      <c r="B19" s="64" t="s">
        <v>108</v>
      </c>
      <c r="C19" s="65" t="s">
        <v>109</v>
      </c>
      <c r="D19" s="69" t="s">
        <v>83</v>
      </c>
      <c r="E19" s="63" t="s">
        <v>84</v>
      </c>
      <c r="F19" s="65" t="s">
        <v>110</v>
      </c>
      <c r="G19" s="68" t="s">
        <v>79</v>
      </c>
      <c r="H19" s="69"/>
      <c r="I19" s="69">
        <v>48</v>
      </c>
      <c r="J19" s="69"/>
      <c r="K19" s="69">
        <v>72</v>
      </c>
      <c r="L19" s="69"/>
      <c r="M19" s="73">
        <f t="shared" si="1"/>
        <v>0</v>
      </c>
      <c r="N19" s="69">
        <f t="shared" si="2"/>
        <v>120</v>
      </c>
      <c r="O19" s="69"/>
      <c r="P19" s="69"/>
      <c r="Q19" s="69"/>
      <c r="R19" s="69">
        <f t="shared" si="3"/>
        <v>120</v>
      </c>
      <c r="S19" s="69"/>
      <c r="T19" s="69">
        <v>2400</v>
      </c>
      <c r="U19" s="69"/>
      <c r="V19" s="69"/>
      <c r="W19" s="69"/>
      <c r="X19" s="69"/>
      <c r="Y19" s="69">
        <v>2400</v>
      </c>
      <c r="Z19" s="69">
        <v>2280</v>
      </c>
      <c r="AA19" s="70">
        <v>46031</v>
      </c>
      <c r="AB19" s="76" t="s">
        <v>80</v>
      </c>
      <c r="AC19" s="72" t="s">
        <v>111</v>
      </c>
      <c r="AD19" s="73"/>
      <c r="AE19" s="69">
        <f t="shared" si="0"/>
        <v>2280</v>
      </c>
      <c r="AF19" s="69">
        <f t="shared" si="4"/>
        <v>7617530.6100000003</v>
      </c>
      <c r="AG19" s="1">
        <v>50204010</v>
      </c>
      <c r="AH19" s="6"/>
      <c r="AI19" s="4"/>
      <c r="AJ19" s="77">
        <v>46031</v>
      </c>
      <c r="AK19" s="78">
        <v>0.45833333333333331</v>
      </c>
      <c r="AL19" s="77">
        <v>46031</v>
      </c>
      <c r="AM19" s="78">
        <v>0.66319444444444442</v>
      </c>
      <c r="AN19" s="14" t="str">
        <f t="shared" si="5"/>
        <v>3:55</v>
      </c>
      <c r="AO19" s="14">
        <f t="shared" si="6"/>
        <v>2.0399305555555556E-2</v>
      </c>
      <c r="AP19" s="4"/>
      <c r="AQ19" s="34" t="s">
        <v>87</v>
      </c>
      <c r="AR19" s="34"/>
      <c r="AS19" s="69">
        <v>2280</v>
      </c>
      <c r="AT19" s="34"/>
      <c r="AU19" s="34"/>
      <c r="AV19" s="34"/>
      <c r="AW19" s="34"/>
      <c r="AX19" s="4"/>
    </row>
    <row r="20" spans="1:50" x14ac:dyDescent="0.3">
      <c r="A20" s="75" t="s">
        <v>80</v>
      </c>
      <c r="B20" s="64" t="s">
        <v>112</v>
      </c>
      <c r="C20" s="65" t="s">
        <v>113</v>
      </c>
      <c r="D20" s="69" t="s">
        <v>83</v>
      </c>
      <c r="E20" s="63" t="s">
        <v>105</v>
      </c>
      <c r="F20" s="65" t="s">
        <v>114</v>
      </c>
      <c r="G20" s="68" t="s">
        <v>79</v>
      </c>
      <c r="H20" s="69"/>
      <c r="I20" s="69">
        <v>37.479999999999997</v>
      </c>
      <c r="J20" s="69">
        <v>93.71</v>
      </c>
      <c r="K20" s="69"/>
      <c r="L20" s="69"/>
      <c r="M20" s="73">
        <f t="shared" si="1"/>
        <v>0</v>
      </c>
      <c r="N20" s="69">
        <f t="shared" si="2"/>
        <v>131.19</v>
      </c>
      <c r="O20" s="69"/>
      <c r="P20" s="69"/>
      <c r="Q20" s="69"/>
      <c r="R20" s="69">
        <f t="shared" si="3"/>
        <v>131.19</v>
      </c>
      <c r="S20" s="69"/>
      <c r="T20" s="69">
        <v>2099</v>
      </c>
      <c r="U20" s="69"/>
      <c r="V20" s="69"/>
      <c r="W20" s="69"/>
      <c r="X20" s="69"/>
      <c r="Y20" s="69">
        <v>2099</v>
      </c>
      <c r="Z20" s="69">
        <v>1967.81</v>
      </c>
      <c r="AA20" s="70">
        <v>46031</v>
      </c>
      <c r="AB20" s="76" t="s">
        <v>80</v>
      </c>
      <c r="AC20" s="72" t="s">
        <v>115</v>
      </c>
      <c r="AD20" s="73"/>
      <c r="AE20" s="69">
        <f t="shared" si="0"/>
        <v>1967.81</v>
      </c>
      <c r="AF20" s="69">
        <f t="shared" si="4"/>
        <v>7615562.8000000007</v>
      </c>
      <c r="AG20" s="1">
        <v>50205030</v>
      </c>
      <c r="AH20" s="6"/>
      <c r="AI20" s="4"/>
      <c r="AJ20" s="77">
        <v>46031</v>
      </c>
      <c r="AK20" s="78">
        <v>0.45833333333333331</v>
      </c>
      <c r="AL20" s="77">
        <v>46031</v>
      </c>
      <c r="AM20" s="78">
        <v>0.66319444444444442</v>
      </c>
      <c r="AN20" s="14" t="str">
        <f t="shared" si="5"/>
        <v>3:55</v>
      </c>
      <c r="AO20" s="14">
        <f t="shared" si="6"/>
        <v>2.0399305555555556E-2</v>
      </c>
      <c r="AP20" s="4"/>
      <c r="AQ20" s="34" t="s">
        <v>87</v>
      </c>
      <c r="AR20" s="34"/>
      <c r="AS20" s="69">
        <v>1967.81</v>
      </c>
      <c r="AT20" s="34"/>
      <c r="AU20" s="34"/>
      <c r="AV20" s="34"/>
      <c r="AW20" s="34"/>
      <c r="AX20" s="4"/>
    </row>
    <row r="21" spans="1:50" x14ac:dyDescent="0.3">
      <c r="A21" s="75" t="s">
        <v>80</v>
      </c>
      <c r="B21" s="64" t="s">
        <v>116</v>
      </c>
      <c r="C21" s="65" t="s">
        <v>113</v>
      </c>
      <c r="D21" s="69" t="s">
        <v>83</v>
      </c>
      <c r="E21" s="63" t="s">
        <v>117</v>
      </c>
      <c r="F21" s="65" t="s">
        <v>118</v>
      </c>
      <c r="G21" s="68" t="s">
        <v>79</v>
      </c>
      <c r="H21" s="69"/>
      <c r="I21" s="69">
        <v>51.77</v>
      </c>
      <c r="J21" s="69">
        <v>129.41999999999999</v>
      </c>
      <c r="K21" s="69"/>
      <c r="L21" s="69"/>
      <c r="M21" s="73">
        <f t="shared" si="1"/>
        <v>0</v>
      </c>
      <c r="N21" s="69">
        <f t="shared" si="2"/>
        <v>181.19</v>
      </c>
      <c r="O21" s="69"/>
      <c r="P21" s="69"/>
      <c r="Q21" s="69"/>
      <c r="R21" s="69">
        <f t="shared" si="3"/>
        <v>181.19</v>
      </c>
      <c r="S21" s="69"/>
      <c r="T21" s="69">
        <v>2899</v>
      </c>
      <c r="U21" s="69"/>
      <c r="V21" s="69"/>
      <c r="W21" s="69"/>
      <c r="X21" s="69"/>
      <c r="Y21" s="69">
        <v>2899</v>
      </c>
      <c r="Z21" s="69">
        <v>2717.81</v>
      </c>
      <c r="AA21" s="70">
        <v>46031</v>
      </c>
      <c r="AB21" s="76" t="s">
        <v>80</v>
      </c>
      <c r="AC21" s="72" t="s">
        <v>119</v>
      </c>
      <c r="AD21" s="73"/>
      <c r="AE21" s="69">
        <f t="shared" si="0"/>
        <v>2717.81</v>
      </c>
      <c r="AF21" s="69">
        <f t="shared" si="4"/>
        <v>7612844.9900000012</v>
      </c>
      <c r="AG21" s="1" t="s">
        <v>120</v>
      </c>
      <c r="AH21" s="6"/>
      <c r="AI21" s="4"/>
      <c r="AJ21" s="77">
        <v>46031</v>
      </c>
      <c r="AK21" s="78">
        <v>0.45833333333333331</v>
      </c>
      <c r="AL21" s="77">
        <v>46031</v>
      </c>
      <c r="AM21" s="78">
        <v>0.66319444444444442</v>
      </c>
      <c r="AN21" s="14" t="str">
        <f t="shared" si="5"/>
        <v>3:55</v>
      </c>
      <c r="AO21" s="14">
        <f t="shared" si="6"/>
        <v>2.0399305555555556E-2</v>
      </c>
      <c r="AP21" s="4"/>
      <c r="AQ21" s="34" t="s">
        <v>87</v>
      </c>
      <c r="AR21" s="34"/>
      <c r="AS21" s="69">
        <v>2717.81</v>
      </c>
      <c r="AT21" s="34"/>
      <c r="AU21" s="34"/>
      <c r="AV21" s="34"/>
      <c r="AW21" s="34"/>
      <c r="AX21" s="4"/>
    </row>
    <row r="22" spans="1:50" x14ac:dyDescent="0.3">
      <c r="A22" s="79" t="s">
        <v>121</v>
      </c>
      <c r="B22" s="80" t="s">
        <v>122</v>
      </c>
      <c r="C22" s="80" t="s">
        <v>123</v>
      </c>
      <c r="D22" s="25" t="s">
        <v>124</v>
      </c>
      <c r="E22" s="81" t="s">
        <v>89</v>
      </c>
      <c r="F22" s="80" t="s">
        <v>125</v>
      </c>
      <c r="G22" s="82" t="s">
        <v>79</v>
      </c>
      <c r="H22" s="83"/>
      <c r="I22" s="84"/>
      <c r="J22" s="85"/>
      <c r="K22" s="85"/>
      <c r="L22" s="85"/>
      <c r="M22" s="85">
        <f t="shared" si="1"/>
        <v>0</v>
      </c>
      <c r="N22" s="25">
        <f t="shared" si="2"/>
        <v>0</v>
      </c>
      <c r="O22" s="85"/>
      <c r="P22" s="85"/>
      <c r="Q22" s="85"/>
      <c r="R22" s="25">
        <f t="shared" si="3"/>
        <v>0</v>
      </c>
      <c r="S22" s="85"/>
      <c r="T22" s="85">
        <v>27981.82</v>
      </c>
      <c r="U22" s="85"/>
      <c r="V22" s="85">
        <v>27981.82</v>
      </c>
      <c r="W22" s="85"/>
      <c r="X22" s="85"/>
      <c r="Y22" s="85"/>
      <c r="Z22" s="85">
        <v>27981.82</v>
      </c>
      <c r="AA22" s="86">
        <v>46034</v>
      </c>
      <c r="AB22" s="87" t="s">
        <v>121</v>
      </c>
      <c r="AC22" s="88">
        <v>3314</v>
      </c>
      <c r="AD22" s="25"/>
      <c r="AE22" s="25">
        <f t="shared" si="0"/>
        <v>27981.82</v>
      </c>
      <c r="AF22" s="69">
        <f t="shared" si="4"/>
        <v>7584863.1700000009</v>
      </c>
      <c r="AG22" s="1">
        <v>50211990</v>
      </c>
      <c r="AH22" s="6"/>
      <c r="AI22" s="4"/>
      <c r="AJ22" s="77">
        <v>46034</v>
      </c>
      <c r="AK22" s="78">
        <v>0.375</v>
      </c>
      <c r="AL22" s="77">
        <v>46034</v>
      </c>
      <c r="AM22" s="78">
        <v>0.46180555555555558</v>
      </c>
      <c r="AN22" s="14" t="str">
        <f t="shared" ref="AN22:AN24" si="7">+TEXT(AM22-AK22,"h:mm")</f>
        <v>2:05</v>
      </c>
      <c r="AO22" s="14">
        <f t="shared" ref="AO22:AO24" si="8">+AN22/10</f>
        <v>8.6805555555555559E-3</v>
      </c>
      <c r="AP22" s="4"/>
      <c r="AQ22" s="34" t="s">
        <v>102</v>
      </c>
      <c r="AR22" s="34"/>
      <c r="AS22" s="34"/>
      <c r="AT22" s="34"/>
      <c r="AU22" s="34"/>
      <c r="AV22" s="85">
        <v>27981.82</v>
      </c>
      <c r="AW22" s="34"/>
      <c r="AX22" s="4"/>
    </row>
    <row r="23" spans="1:50" x14ac:dyDescent="0.3">
      <c r="A23" s="79" t="s">
        <v>121</v>
      </c>
      <c r="B23" s="80" t="s">
        <v>126</v>
      </c>
      <c r="C23" s="80" t="s">
        <v>123</v>
      </c>
      <c r="D23" s="25" t="s">
        <v>124</v>
      </c>
      <c r="E23" s="81" t="s">
        <v>84</v>
      </c>
      <c r="F23" s="80" t="s">
        <v>127</v>
      </c>
      <c r="G23" s="82" t="s">
        <v>79</v>
      </c>
      <c r="H23" s="84"/>
      <c r="I23" s="85"/>
      <c r="J23" s="85"/>
      <c r="K23" s="85"/>
      <c r="L23" s="25"/>
      <c r="M23" s="85">
        <f t="shared" si="1"/>
        <v>0</v>
      </c>
      <c r="N23" s="25">
        <f t="shared" si="2"/>
        <v>0</v>
      </c>
      <c r="O23" s="25"/>
      <c r="P23" s="25"/>
      <c r="Q23" s="25"/>
      <c r="R23" s="25">
        <f t="shared" si="3"/>
        <v>0</v>
      </c>
      <c r="S23" s="25"/>
      <c r="T23" s="85">
        <v>59978.71</v>
      </c>
      <c r="U23" s="85"/>
      <c r="V23" s="85">
        <v>59978.71</v>
      </c>
      <c r="W23" s="85"/>
      <c r="X23" s="85"/>
      <c r="Y23" s="85"/>
      <c r="Z23" s="85">
        <v>59978.71</v>
      </c>
      <c r="AA23" s="86">
        <v>46034</v>
      </c>
      <c r="AB23" s="87" t="s">
        <v>121</v>
      </c>
      <c r="AC23" s="88">
        <v>3331</v>
      </c>
      <c r="AD23" s="85"/>
      <c r="AE23" s="25">
        <f t="shared" si="0"/>
        <v>59978.71</v>
      </c>
      <c r="AF23" s="69">
        <f t="shared" si="4"/>
        <v>7524884.4600000009</v>
      </c>
      <c r="AG23" s="1">
        <v>50102110</v>
      </c>
      <c r="AH23" s="6"/>
      <c r="AI23" s="4"/>
      <c r="AJ23" s="77">
        <v>46034</v>
      </c>
      <c r="AK23" s="78">
        <v>0.375</v>
      </c>
      <c r="AL23" s="77">
        <v>46034</v>
      </c>
      <c r="AM23" s="78">
        <v>0.46180555555555558</v>
      </c>
      <c r="AN23" s="14" t="str">
        <f t="shared" si="7"/>
        <v>2:05</v>
      </c>
      <c r="AO23" s="14">
        <f t="shared" si="8"/>
        <v>8.6805555555555559E-3</v>
      </c>
      <c r="AP23" s="4"/>
      <c r="AQ23" s="34" t="s">
        <v>102</v>
      </c>
      <c r="AR23" s="34"/>
      <c r="AS23" s="34"/>
      <c r="AT23" s="34"/>
      <c r="AU23" s="85">
        <v>59978.71</v>
      </c>
      <c r="AV23" s="34"/>
      <c r="AW23" s="34"/>
      <c r="AX23" s="4"/>
    </row>
    <row r="24" spans="1:50" x14ac:dyDescent="0.3">
      <c r="A24" s="79" t="s">
        <v>121</v>
      </c>
      <c r="B24" s="80" t="s">
        <v>128</v>
      </c>
      <c r="C24" s="80" t="s">
        <v>123</v>
      </c>
      <c r="D24" s="25" t="s">
        <v>124</v>
      </c>
      <c r="E24" s="81" t="s">
        <v>84</v>
      </c>
      <c r="F24" s="80" t="s">
        <v>129</v>
      </c>
      <c r="G24" s="82" t="s">
        <v>79</v>
      </c>
      <c r="H24" s="84"/>
      <c r="I24" s="85"/>
      <c r="J24" s="85"/>
      <c r="K24" s="85"/>
      <c r="L24" s="25"/>
      <c r="M24" s="85">
        <f t="shared" si="1"/>
        <v>0</v>
      </c>
      <c r="N24" s="25">
        <f t="shared" si="2"/>
        <v>0</v>
      </c>
      <c r="O24" s="85"/>
      <c r="P24" s="85"/>
      <c r="Q24" s="85"/>
      <c r="R24" s="85">
        <f t="shared" si="3"/>
        <v>0</v>
      </c>
      <c r="S24" s="85"/>
      <c r="T24" s="85">
        <v>63060.73</v>
      </c>
      <c r="U24" s="85"/>
      <c r="V24" s="85">
        <v>63060.73</v>
      </c>
      <c r="W24" s="85"/>
      <c r="X24" s="85"/>
      <c r="Y24" s="85"/>
      <c r="Z24" s="85">
        <v>63060.73</v>
      </c>
      <c r="AA24" s="86">
        <v>46034</v>
      </c>
      <c r="AB24" s="87" t="s">
        <v>121</v>
      </c>
      <c r="AC24" s="88">
        <v>3357</v>
      </c>
      <c r="AD24" s="85"/>
      <c r="AE24" s="25">
        <f t="shared" si="0"/>
        <v>63060.73</v>
      </c>
      <c r="AF24" s="69">
        <f t="shared" si="4"/>
        <v>7461823.7300000004</v>
      </c>
      <c r="AG24" s="1" t="s">
        <v>130</v>
      </c>
      <c r="AH24" s="6"/>
      <c r="AI24" s="4"/>
      <c r="AJ24" s="77">
        <v>46034</v>
      </c>
      <c r="AK24" s="78">
        <v>0.375</v>
      </c>
      <c r="AL24" s="77">
        <v>46034</v>
      </c>
      <c r="AM24" s="78">
        <v>0.46180555555555558</v>
      </c>
      <c r="AN24" s="14" t="str">
        <f t="shared" si="7"/>
        <v>2:05</v>
      </c>
      <c r="AO24" s="14">
        <f t="shared" si="8"/>
        <v>8.6805555555555559E-3</v>
      </c>
      <c r="AP24" s="4"/>
      <c r="AQ24" s="34" t="s">
        <v>102</v>
      </c>
      <c r="AR24" s="34"/>
      <c r="AS24" s="34"/>
      <c r="AT24" s="34"/>
      <c r="AU24" s="85">
        <v>63060.73</v>
      </c>
      <c r="AV24" s="34"/>
      <c r="AW24" s="34"/>
      <c r="AX24" s="4"/>
    </row>
    <row r="25" spans="1:50" x14ac:dyDescent="0.3">
      <c r="A25" s="79" t="s">
        <v>121</v>
      </c>
      <c r="B25" s="80" t="s">
        <v>131</v>
      </c>
      <c r="C25" s="80" t="s">
        <v>123</v>
      </c>
      <c r="D25" s="25" t="s">
        <v>124</v>
      </c>
      <c r="E25" s="81" t="s">
        <v>84</v>
      </c>
      <c r="F25" s="80" t="s">
        <v>132</v>
      </c>
      <c r="G25" s="82" t="s">
        <v>79</v>
      </c>
      <c r="H25" s="85"/>
      <c r="I25" s="85"/>
      <c r="J25" s="85"/>
      <c r="K25" s="85"/>
      <c r="L25" s="85"/>
      <c r="M25" s="85">
        <f t="shared" si="1"/>
        <v>0</v>
      </c>
      <c r="N25" s="25">
        <f t="shared" si="2"/>
        <v>0</v>
      </c>
      <c r="O25" s="85"/>
      <c r="P25" s="85"/>
      <c r="Q25" s="85"/>
      <c r="R25" s="85">
        <f t="shared" si="3"/>
        <v>0</v>
      </c>
      <c r="S25" s="85"/>
      <c r="T25" s="85">
        <v>19340.580000000024</v>
      </c>
      <c r="U25" s="85"/>
      <c r="V25" s="85"/>
      <c r="W25" s="85"/>
      <c r="X25" s="85"/>
      <c r="Y25" s="85"/>
      <c r="Z25" s="85">
        <v>19340.580000000024</v>
      </c>
      <c r="AA25" s="86">
        <v>46034</v>
      </c>
      <c r="AB25" s="87" t="s">
        <v>121</v>
      </c>
      <c r="AC25" s="88">
        <v>3359</v>
      </c>
      <c r="AD25" s="85"/>
      <c r="AE25" s="25">
        <f t="shared" si="0"/>
        <v>19340.580000000024</v>
      </c>
      <c r="AF25" s="69">
        <f t="shared" si="4"/>
        <v>7442483.1500000004</v>
      </c>
      <c r="AG25" s="1"/>
      <c r="AH25" s="6"/>
      <c r="AI25" s="4"/>
      <c r="AJ25" s="89"/>
      <c r="AK25" s="89"/>
      <c r="AL25" s="89"/>
      <c r="AM25" s="89"/>
      <c r="AN25" s="89"/>
      <c r="AO25" s="89"/>
      <c r="AP25" s="4"/>
      <c r="AQ25" s="34" t="s">
        <v>102</v>
      </c>
      <c r="AR25" s="34"/>
      <c r="AS25" s="34"/>
      <c r="AT25" s="34"/>
      <c r="AU25" s="85">
        <v>19340.580000000024</v>
      </c>
      <c r="AV25" s="34"/>
      <c r="AW25" s="34"/>
      <c r="AX25" s="4"/>
    </row>
    <row r="26" spans="1:50" x14ac:dyDescent="0.3">
      <c r="A26" s="79" t="s">
        <v>121</v>
      </c>
      <c r="B26" s="80" t="s">
        <v>131</v>
      </c>
      <c r="C26" s="80" t="s">
        <v>123</v>
      </c>
      <c r="D26" s="25" t="s">
        <v>124</v>
      </c>
      <c r="E26" s="81" t="s">
        <v>84</v>
      </c>
      <c r="F26" s="80" t="s">
        <v>132</v>
      </c>
      <c r="G26" s="82" t="s">
        <v>79</v>
      </c>
      <c r="H26" s="84"/>
      <c r="I26" s="85"/>
      <c r="J26" s="85"/>
      <c r="K26" s="85"/>
      <c r="L26" s="85"/>
      <c r="M26" s="85">
        <f t="shared" si="1"/>
        <v>0</v>
      </c>
      <c r="N26" s="25">
        <f t="shared" si="2"/>
        <v>0</v>
      </c>
      <c r="O26" s="85"/>
      <c r="P26" s="85"/>
      <c r="Q26" s="85"/>
      <c r="R26" s="85">
        <f t="shared" si="3"/>
        <v>0</v>
      </c>
      <c r="S26" s="85"/>
      <c r="T26" s="85">
        <v>59522.96</v>
      </c>
      <c r="U26" s="85"/>
      <c r="V26" s="85">
        <v>78863.539999999994</v>
      </c>
      <c r="W26" s="85"/>
      <c r="X26" s="85"/>
      <c r="Y26" s="85"/>
      <c r="Z26" s="85">
        <v>59522.96</v>
      </c>
      <c r="AA26" s="86">
        <v>46034</v>
      </c>
      <c r="AB26" s="87" t="s">
        <v>121</v>
      </c>
      <c r="AC26" s="88">
        <v>3359</v>
      </c>
      <c r="AD26" s="85"/>
      <c r="AE26" s="25">
        <f t="shared" si="0"/>
        <v>59522.96</v>
      </c>
      <c r="AF26" s="69">
        <f t="shared" si="4"/>
        <v>7382960.1900000004</v>
      </c>
      <c r="AG26" s="1"/>
      <c r="AH26" s="6"/>
      <c r="AI26" s="4"/>
      <c r="AJ26" s="77">
        <v>46034</v>
      </c>
      <c r="AK26" s="78">
        <v>0.375</v>
      </c>
      <c r="AL26" s="77">
        <v>46034</v>
      </c>
      <c r="AM26" s="78">
        <v>0.46180555555555558</v>
      </c>
      <c r="AN26" s="14" t="str">
        <f>+TEXT(AM26-AK26,"h:mm")</f>
        <v>2:05</v>
      </c>
      <c r="AO26" s="14">
        <f>+AN26/10</f>
        <v>8.6805555555555559E-3</v>
      </c>
      <c r="AP26" s="4"/>
      <c r="AQ26" s="34" t="s">
        <v>102</v>
      </c>
      <c r="AR26" s="34"/>
      <c r="AS26" s="34"/>
      <c r="AT26" s="34"/>
      <c r="AU26" s="85">
        <v>59522.96</v>
      </c>
      <c r="AV26" s="34"/>
      <c r="AW26" s="34"/>
      <c r="AX26" s="4"/>
    </row>
    <row r="27" spans="1:50" x14ac:dyDescent="0.3">
      <c r="A27" s="79" t="s">
        <v>121</v>
      </c>
      <c r="B27" s="80" t="s">
        <v>133</v>
      </c>
      <c r="C27" s="80" t="s">
        <v>134</v>
      </c>
      <c r="D27" s="25" t="s">
        <v>124</v>
      </c>
      <c r="E27" s="81" t="s">
        <v>135</v>
      </c>
      <c r="F27" s="80" t="s">
        <v>136</v>
      </c>
      <c r="G27" s="82" t="s">
        <v>79</v>
      </c>
      <c r="H27" s="85"/>
      <c r="I27" s="84"/>
      <c r="J27" s="85"/>
      <c r="K27" s="85"/>
      <c r="L27" s="85"/>
      <c r="M27" s="85">
        <f t="shared" si="1"/>
        <v>0</v>
      </c>
      <c r="N27" s="25">
        <f t="shared" si="2"/>
        <v>0</v>
      </c>
      <c r="O27" s="85"/>
      <c r="P27" s="85"/>
      <c r="Q27" s="85"/>
      <c r="R27" s="85">
        <f t="shared" si="3"/>
        <v>0</v>
      </c>
      <c r="S27" s="85"/>
      <c r="T27" s="85">
        <v>14836.46</v>
      </c>
      <c r="U27" s="85"/>
      <c r="V27" s="85"/>
      <c r="W27" s="85"/>
      <c r="X27" s="85"/>
      <c r="Y27" s="85"/>
      <c r="Z27" s="85">
        <v>14836.46</v>
      </c>
      <c r="AA27" s="86">
        <v>46034</v>
      </c>
      <c r="AB27" s="87" t="s">
        <v>121</v>
      </c>
      <c r="AC27" s="88">
        <v>3334</v>
      </c>
      <c r="AD27" s="85"/>
      <c r="AE27" s="25">
        <f t="shared" si="0"/>
        <v>14836.46</v>
      </c>
      <c r="AF27" s="69">
        <f t="shared" si="4"/>
        <v>7368123.7300000004</v>
      </c>
      <c r="AG27" s="1">
        <v>50211990</v>
      </c>
      <c r="AH27" s="6"/>
      <c r="AI27" s="4"/>
      <c r="AJ27" s="77"/>
      <c r="AK27" s="78"/>
      <c r="AL27" s="77"/>
      <c r="AM27" s="78"/>
      <c r="AN27" s="14"/>
      <c r="AO27" s="14"/>
      <c r="AP27" s="4"/>
      <c r="AQ27" s="34" t="s">
        <v>102</v>
      </c>
      <c r="AR27" s="34"/>
      <c r="AS27" s="34"/>
      <c r="AT27" s="34"/>
      <c r="AU27" s="34"/>
      <c r="AV27" s="85">
        <v>14836.46</v>
      </c>
      <c r="AW27" s="34"/>
      <c r="AX27" s="4"/>
    </row>
    <row r="28" spans="1:50" x14ac:dyDescent="0.3">
      <c r="A28" s="79" t="s">
        <v>121</v>
      </c>
      <c r="B28" s="80" t="s">
        <v>133</v>
      </c>
      <c r="C28" s="80" t="s">
        <v>134</v>
      </c>
      <c r="D28" s="25" t="s">
        <v>124</v>
      </c>
      <c r="E28" s="81" t="s">
        <v>137</v>
      </c>
      <c r="F28" s="80" t="s">
        <v>136</v>
      </c>
      <c r="G28" s="82" t="s">
        <v>79</v>
      </c>
      <c r="H28" s="85"/>
      <c r="I28" s="84"/>
      <c r="J28" s="85"/>
      <c r="K28" s="85"/>
      <c r="L28" s="85"/>
      <c r="M28" s="85">
        <f t="shared" si="1"/>
        <v>0</v>
      </c>
      <c r="N28" s="25">
        <f t="shared" si="2"/>
        <v>0</v>
      </c>
      <c r="O28" s="85"/>
      <c r="P28" s="85"/>
      <c r="Q28" s="85"/>
      <c r="R28" s="85">
        <f t="shared" si="3"/>
        <v>0</v>
      </c>
      <c r="S28" s="85"/>
      <c r="T28" s="85">
        <v>14807.98</v>
      </c>
      <c r="U28" s="85"/>
      <c r="V28" s="85"/>
      <c r="W28" s="85"/>
      <c r="X28" s="85"/>
      <c r="Y28" s="85"/>
      <c r="Z28" s="85">
        <v>14807.98</v>
      </c>
      <c r="AA28" s="86">
        <v>46034</v>
      </c>
      <c r="AB28" s="87" t="s">
        <v>121</v>
      </c>
      <c r="AC28" s="88">
        <v>3334</v>
      </c>
      <c r="AD28" s="85"/>
      <c r="AE28" s="25">
        <f t="shared" si="0"/>
        <v>14807.98</v>
      </c>
      <c r="AF28" s="69">
        <f t="shared" si="4"/>
        <v>7353315.75</v>
      </c>
      <c r="AG28" s="1">
        <v>50211990</v>
      </c>
      <c r="AH28" s="6"/>
      <c r="AI28" s="4"/>
      <c r="AJ28" s="77"/>
      <c r="AK28" s="78"/>
      <c r="AL28" s="77"/>
      <c r="AM28" s="78"/>
      <c r="AN28" s="14"/>
      <c r="AO28" s="14"/>
      <c r="AP28" s="4"/>
      <c r="AQ28" s="34" t="s">
        <v>102</v>
      </c>
      <c r="AR28" s="34"/>
      <c r="AS28" s="34"/>
      <c r="AT28" s="34"/>
      <c r="AU28" s="34"/>
      <c r="AV28" s="85">
        <v>14807.98</v>
      </c>
      <c r="AW28" s="34"/>
      <c r="AX28" s="4"/>
    </row>
    <row r="29" spans="1:50" x14ac:dyDescent="0.3">
      <c r="A29" s="79" t="s">
        <v>121</v>
      </c>
      <c r="B29" s="80" t="s">
        <v>133</v>
      </c>
      <c r="C29" s="80" t="s">
        <v>134</v>
      </c>
      <c r="D29" s="25" t="s">
        <v>124</v>
      </c>
      <c r="E29" s="81" t="s">
        <v>138</v>
      </c>
      <c r="F29" s="80" t="s">
        <v>136</v>
      </c>
      <c r="G29" s="82" t="s">
        <v>79</v>
      </c>
      <c r="H29" s="85"/>
      <c r="I29" s="84"/>
      <c r="J29" s="85"/>
      <c r="K29" s="85"/>
      <c r="L29" s="85"/>
      <c r="M29" s="85">
        <f t="shared" si="1"/>
        <v>0</v>
      </c>
      <c r="N29" s="25">
        <f t="shared" si="2"/>
        <v>0</v>
      </c>
      <c r="O29" s="85"/>
      <c r="P29" s="85"/>
      <c r="Q29" s="85"/>
      <c r="R29" s="85">
        <f t="shared" si="3"/>
        <v>0</v>
      </c>
      <c r="S29" s="85"/>
      <c r="T29" s="85">
        <v>8807</v>
      </c>
      <c r="U29" s="85"/>
      <c r="V29" s="85"/>
      <c r="W29" s="85"/>
      <c r="X29" s="85"/>
      <c r="Y29" s="85"/>
      <c r="Z29" s="85">
        <v>8807</v>
      </c>
      <c r="AA29" s="86">
        <v>46034</v>
      </c>
      <c r="AB29" s="87" t="s">
        <v>121</v>
      </c>
      <c r="AC29" s="88">
        <v>3334</v>
      </c>
      <c r="AD29" s="85"/>
      <c r="AE29" s="25">
        <f t="shared" si="0"/>
        <v>8807</v>
      </c>
      <c r="AF29" s="69">
        <f t="shared" si="4"/>
        <v>7344508.75</v>
      </c>
      <c r="AG29" s="1">
        <v>50211990</v>
      </c>
      <c r="AH29" s="6"/>
      <c r="AI29" s="4"/>
      <c r="AJ29" s="77"/>
      <c r="AK29" s="78"/>
      <c r="AL29" s="77"/>
      <c r="AM29" s="78"/>
      <c r="AN29" s="14"/>
      <c r="AO29" s="14"/>
      <c r="AP29" s="4"/>
      <c r="AQ29" s="34" t="s">
        <v>102</v>
      </c>
      <c r="AR29" s="34"/>
      <c r="AS29" s="34"/>
      <c r="AT29" s="34"/>
      <c r="AU29" s="34"/>
      <c r="AV29" s="85">
        <v>8807</v>
      </c>
      <c r="AW29" s="34"/>
      <c r="AX29" s="4"/>
    </row>
    <row r="30" spans="1:50" x14ac:dyDescent="0.3">
      <c r="A30" s="79" t="s">
        <v>121</v>
      </c>
      <c r="B30" s="80" t="s">
        <v>133</v>
      </c>
      <c r="C30" s="80" t="s">
        <v>134</v>
      </c>
      <c r="D30" s="25" t="s">
        <v>124</v>
      </c>
      <c r="E30" s="81" t="s">
        <v>94</v>
      </c>
      <c r="F30" s="80" t="s">
        <v>136</v>
      </c>
      <c r="G30" s="82" t="s">
        <v>79</v>
      </c>
      <c r="H30" s="85"/>
      <c r="I30" s="84"/>
      <c r="J30" s="85"/>
      <c r="K30" s="85"/>
      <c r="L30" s="25"/>
      <c r="M30" s="85">
        <f t="shared" si="1"/>
        <v>0</v>
      </c>
      <c r="N30" s="25">
        <f t="shared" si="2"/>
        <v>0</v>
      </c>
      <c r="O30" s="85"/>
      <c r="P30" s="85"/>
      <c r="Q30" s="85"/>
      <c r="R30" s="85">
        <f t="shared" si="3"/>
        <v>0</v>
      </c>
      <c r="S30" s="85"/>
      <c r="T30" s="85">
        <f>17654.21+16774.03</f>
        <v>34428.239999999998</v>
      </c>
      <c r="U30" s="85"/>
      <c r="V30" s="85">
        <v>72879.679999999993</v>
      </c>
      <c r="W30" s="85"/>
      <c r="X30" s="85"/>
      <c r="Y30" s="85"/>
      <c r="Z30" s="85">
        <f>17654.21+16774.03</f>
        <v>34428.239999999998</v>
      </c>
      <c r="AA30" s="86">
        <v>46034</v>
      </c>
      <c r="AB30" s="87" t="s">
        <v>121</v>
      </c>
      <c r="AC30" s="88">
        <v>3334</v>
      </c>
      <c r="AD30" s="85"/>
      <c r="AE30" s="25">
        <f t="shared" si="0"/>
        <v>34428.239999999998</v>
      </c>
      <c r="AF30" s="69">
        <f t="shared" si="4"/>
        <v>7310080.5099999998</v>
      </c>
      <c r="AG30" s="1">
        <v>50211990</v>
      </c>
      <c r="AH30" s="6"/>
      <c r="AI30" s="4"/>
      <c r="AJ30" s="77">
        <v>46034</v>
      </c>
      <c r="AK30" s="78">
        <v>0.375</v>
      </c>
      <c r="AL30" s="77">
        <v>46034</v>
      </c>
      <c r="AM30" s="78">
        <v>0.46180555555555558</v>
      </c>
      <c r="AN30" s="14" t="str">
        <f>+TEXT(AM30-AK30,"h:mm")</f>
        <v>2:05</v>
      </c>
      <c r="AO30" s="14">
        <f>+AN30/10</f>
        <v>8.6805555555555559E-3</v>
      </c>
      <c r="AP30" s="4"/>
      <c r="AQ30" s="34" t="s">
        <v>102</v>
      </c>
      <c r="AR30" s="34"/>
      <c r="AS30" s="34"/>
      <c r="AT30" s="34"/>
      <c r="AU30" s="34"/>
      <c r="AV30" s="85">
        <f>17654.21+16774.03</f>
        <v>34428.239999999998</v>
      </c>
      <c r="AW30" s="34"/>
      <c r="AX30" s="4"/>
    </row>
    <row r="31" spans="1:50" x14ac:dyDescent="0.3">
      <c r="A31" s="79" t="s">
        <v>121</v>
      </c>
      <c r="B31" s="80" t="s">
        <v>139</v>
      </c>
      <c r="C31" s="80" t="s">
        <v>140</v>
      </c>
      <c r="D31" s="25" t="s">
        <v>124</v>
      </c>
      <c r="E31" s="81" t="s">
        <v>141</v>
      </c>
      <c r="F31" s="80" t="s">
        <v>142</v>
      </c>
      <c r="G31" s="82" t="s">
        <v>79</v>
      </c>
      <c r="H31" s="85"/>
      <c r="I31" s="84"/>
      <c r="J31" s="85"/>
      <c r="K31" s="85"/>
      <c r="L31" s="25"/>
      <c r="M31" s="85">
        <f t="shared" si="1"/>
        <v>0</v>
      </c>
      <c r="N31" s="25">
        <f t="shared" si="2"/>
        <v>0</v>
      </c>
      <c r="O31" s="85"/>
      <c r="P31" s="85"/>
      <c r="Q31" s="85"/>
      <c r="R31" s="85">
        <f t="shared" si="3"/>
        <v>0</v>
      </c>
      <c r="S31" s="85"/>
      <c r="T31" s="85">
        <v>9898</v>
      </c>
      <c r="U31" s="85"/>
      <c r="V31" s="85"/>
      <c r="W31" s="85"/>
      <c r="X31" s="85"/>
      <c r="Y31" s="85"/>
      <c r="Z31" s="85">
        <v>9898</v>
      </c>
      <c r="AA31" s="86">
        <v>46034</v>
      </c>
      <c r="AB31" s="87" t="s">
        <v>121</v>
      </c>
      <c r="AC31" s="88">
        <v>3335</v>
      </c>
      <c r="AD31" s="85"/>
      <c r="AE31" s="25">
        <f t="shared" si="0"/>
        <v>9898</v>
      </c>
      <c r="AF31" s="69">
        <f t="shared" si="4"/>
        <v>7300182.5099999998</v>
      </c>
      <c r="AG31" s="1">
        <v>50211990</v>
      </c>
      <c r="AH31" s="6"/>
      <c r="AI31" s="4"/>
      <c r="AJ31" s="77"/>
      <c r="AK31" s="78"/>
      <c r="AL31" s="77"/>
      <c r="AM31" s="78"/>
      <c r="AN31" s="14"/>
      <c r="AO31" s="90"/>
      <c r="AP31" s="4"/>
      <c r="AQ31" s="34" t="s">
        <v>102</v>
      </c>
      <c r="AR31" s="34"/>
      <c r="AS31" s="34"/>
      <c r="AT31" s="34"/>
      <c r="AU31" s="34"/>
      <c r="AV31" s="85">
        <v>9898</v>
      </c>
      <c r="AW31" s="34"/>
      <c r="AX31" s="4"/>
    </row>
    <row r="32" spans="1:50" x14ac:dyDescent="0.3">
      <c r="A32" s="79" t="s">
        <v>121</v>
      </c>
      <c r="B32" s="80" t="s">
        <v>139</v>
      </c>
      <c r="C32" s="80" t="s">
        <v>140</v>
      </c>
      <c r="D32" s="25" t="s">
        <v>124</v>
      </c>
      <c r="E32" s="81" t="s">
        <v>143</v>
      </c>
      <c r="F32" s="80" t="s">
        <v>142</v>
      </c>
      <c r="G32" s="82" t="s">
        <v>79</v>
      </c>
      <c r="H32" s="85"/>
      <c r="I32" s="84"/>
      <c r="J32" s="85"/>
      <c r="K32" s="85"/>
      <c r="L32" s="25"/>
      <c r="M32" s="85">
        <f t="shared" si="1"/>
        <v>0</v>
      </c>
      <c r="N32" s="25">
        <f t="shared" si="2"/>
        <v>0</v>
      </c>
      <c r="O32" s="85"/>
      <c r="P32" s="85"/>
      <c r="Q32" s="85"/>
      <c r="R32" s="85">
        <f t="shared" si="3"/>
        <v>0</v>
      </c>
      <c r="S32" s="85"/>
      <c r="T32" s="85">
        <f>13628.34+10100+10100+11824.68+11146.52+11121.19+13423.53+13656.79+12890.71</f>
        <v>107891.75999999998</v>
      </c>
      <c r="U32" s="85"/>
      <c r="V32" s="85"/>
      <c r="W32" s="85"/>
      <c r="X32" s="85"/>
      <c r="Y32" s="85"/>
      <c r="Z32" s="85">
        <f>13628.34+10100+10100+11824.68+11146.52+11121.19+13423.53+13656.79+12890.71</f>
        <v>107891.75999999998</v>
      </c>
      <c r="AA32" s="86">
        <v>46034</v>
      </c>
      <c r="AB32" s="87" t="s">
        <v>121</v>
      </c>
      <c r="AC32" s="88">
        <v>3335</v>
      </c>
      <c r="AD32" s="85"/>
      <c r="AE32" s="25">
        <f t="shared" si="0"/>
        <v>107891.75999999998</v>
      </c>
      <c r="AF32" s="69">
        <f t="shared" si="4"/>
        <v>7192290.75</v>
      </c>
      <c r="AG32" s="1">
        <v>50211990</v>
      </c>
      <c r="AH32" s="6"/>
      <c r="AI32" s="4"/>
      <c r="AJ32" s="77"/>
      <c r="AK32" s="78"/>
      <c r="AL32" s="77"/>
      <c r="AM32" s="78"/>
      <c r="AN32" s="14"/>
      <c r="AO32" s="14"/>
      <c r="AP32" s="4"/>
      <c r="AQ32" s="34" t="s">
        <v>102</v>
      </c>
      <c r="AR32" s="34"/>
      <c r="AS32" s="34"/>
      <c r="AT32" s="34"/>
      <c r="AU32" s="34"/>
      <c r="AV32" s="85">
        <f>13628.34+10100+10100+11824.68+11146.52+11121.19+13423.53+13656.79+12890.71</f>
        <v>107891.75999999998</v>
      </c>
      <c r="AW32" s="34"/>
      <c r="AX32" s="4"/>
    </row>
    <row r="33" spans="1:50" x14ac:dyDescent="0.3">
      <c r="A33" s="79" t="s">
        <v>121</v>
      </c>
      <c r="B33" s="80" t="s">
        <v>139</v>
      </c>
      <c r="C33" s="80" t="s">
        <v>140</v>
      </c>
      <c r="D33" s="25" t="s">
        <v>124</v>
      </c>
      <c r="E33" s="81" t="s">
        <v>144</v>
      </c>
      <c r="F33" s="80" t="s">
        <v>142</v>
      </c>
      <c r="G33" s="82" t="s">
        <v>79</v>
      </c>
      <c r="H33" s="85"/>
      <c r="I33" s="85"/>
      <c r="J33" s="85"/>
      <c r="K33" s="85"/>
      <c r="L33" s="25"/>
      <c r="M33" s="85">
        <f t="shared" si="1"/>
        <v>0</v>
      </c>
      <c r="N33" s="25">
        <f t="shared" si="2"/>
        <v>0</v>
      </c>
      <c r="O33" s="85"/>
      <c r="P33" s="85"/>
      <c r="Q33" s="85"/>
      <c r="R33" s="85">
        <f t="shared" si="3"/>
        <v>0</v>
      </c>
      <c r="S33" s="85"/>
      <c r="T33" s="85">
        <v>9581.61</v>
      </c>
      <c r="U33" s="85"/>
      <c r="V33" s="85"/>
      <c r="W33" s="85"/>
      <c r="X33" s="85"/>
      <c r="Y33" s="85"/>
      <c r="Z33" s="85">
        <v>9581.61</v>
      </c>
      <c r="AA33" s="86">
        <v>46034</v>
      </c>
      <c r="AB33" s="87" t="s">
        <v>121</v>
      </c>
      <c r="AC33" s="88">
        <v>3335</v>
      </c>
      <c r="AD33" s="85"/>
      <c r="AE33" s="25">
        <f t="shared" si="0"/>
        <v>9581.61</v>
      </c>
      <c r="AF33" s="69">
        <f t="shared" si="4"/>
        <v>7182709.1399999997</v>
      </c>
      <c r="AG33" s="1">
        <v>50211990</v>
      </c>
      <c r="AH33" s="6"/>
      <c r="AI33" s="4"/>
      <c r="AJ33" s="77"/>
      <c r="AK33" s="78"/>
      <c r="AL33" s="77"/>
      <c r="AM33" s="78"/>
      <c r="AN33" s="14"/>
      <c r="AO33" s="14"/>
      <c r="AP33" s="4"/>
      <c r="AQ33" s="34" t="s">
        <v>102</v>
      </c>
      <c r="AR33" s="34"/>
      <c r="AS33" s="34"/>
      <c r="AT33" s="34"/>
      <c r="AU33" s="34"/>
      <c r="AV33" s="85">
        <v>9581.61</v>
      </c>
      <c r="AW33" s="34"/>
      <c r="AX33" s="4"/>
    </row>
    <row r="34" spans="1:50" x14ac:dyDescent="0.3">
      <c r="A34" s="79" t="s">
        <v>121</v>
      </c>
      <c r="B34" s="80" t="s">
        <v>139</v>
      </c>
      <c r="C34" s="80" t="s">
        <v>140</v>
      </c>
      <c r="D34" s="25" t="s">
        <v>124</v>
      </c>
      <c r="E34" s="81" t="s">
        <v>145</v>
      </c>
      <c r="F34" s="80" t="s">
        <v>142</v>
      </c>
      <c r="G34" s="82" t="s">
        <v>79</v>
      </c>
      <c r="H34" s="85"/>
      <c r="I34" s="84"/>
      <c r="J34" s="85"/>
      <c r="K34" s="85"/>
      <c r="L34" s="25"/>
      <c r="M34" s="85">
        <f t="shared" si="1"/>
        <v>0</v>
      </c>
      <c r="N34" s="25">
        <f t="shared" si="2"/>
        <v>0</v>
      </c>
      <c r="O34" s="85"/>
      <c r="P34" s="85"/>
      <c r="Q34" s="85"/>
      <c r="R34" s="85">
        <f t="shared" si="3"/>
        <v>0</v>
      </c>
      <c r="S34" s="85"/>
      <c r="T34" s="85">
        <f>9898+10063.66</f>
        <v>19961.66</v>
      </c>
      <c r="U34" s="85"/>
      <c r="V34" s="85">
        <v>147333.03</v>
      </c>
      <c r="W34" s="85"/>
      <c r="X34" s="85"/>
      <c r="Y34" s="85"/>
      <c r="Z34" s="85">
        <f>9898+10063.66</f>
        <v>19961.66</v>
      </c>
      <c r="AA34" s="86">
        <v>46034</v>
      </c>
      <c r="AB34" s="87" t="s">
        <v>121</v>
      </c>
      <c r="AC34" s="88">
        <v>3335</v>
      </c>
      <c r="AD34" s="85"/>
      <c r="AE34" s="25">
        <f t="shared" si="0"/>
        <v>19961.66</v>
      </c>
      <c r="AF34" s="69">
        <f t="shared" si="4"/>
        <v>7162747.4799999995</v>
      </c>
      <c r="AG34" s="1">
        <v>50211990</v>
      </c>
      <c r="AH34" s="6"/>
      <c r="AI34" s="4"/>
      <c r="AJ34" s="77">
        <v>46034</v>
      </c>
      <c r="AK34" s="78">
        <v>0.375</v>
      </c>
      <c r="AL34" s="77">
        <v>46034</v>
      </c>
      <c r="AM34" s="78">
        <v>0.46180555555555558</v>
      </c>
      <c r="AN34" s="14" t="str">
        <f>+TEXT(AM34-AK34,"h:mm")</f>
        <v>2:05</v>
      </c>
      <c r="AO34" s="14">
        <f>+AN34/10</f>
        <v>8.6805555555555559E-3</v>
      </c>
      <c r="AP34" s="4"/>
      <c r="AQ34" s="34" t="s">
        <v>102</v>
      </c>
      <c r="AR34" s="34"/>
      <c r="AS34" s="34"/>
      <c r="AT34" s="34"/>
      <c r="AU34" s="34"/>
      <c r="AV34" s="85">
        <f>9898+10063.66</f>
        <v>19961.66</v>
      </c>
      <c r="AW34" s="34"/>
      <c r="AX34" s="4"/>
    </row>
    <row r="35" spans="1:50" x14ac:dyDescent="0.3">
      <c r="A35" s="79" t="s">
        <v>121</v>
      </c>
      <c r="B35" s="80" t="s">
        <v>146</v>
      </c>
      <c r="C35" s="80" t="s">
        <v>147</v>
      </c>
      <c r="D35" s="25" t="s">
        <v>124</v>
      </c>
      <c r="E35" s="81" t="s">
        <v>148</v>
      </c>
      <c r="F35" s="80" t="s">
        <v>149</v>
      </c>
      <c r="G35" s="82" t="s">
        <v>79</v>
      </c>
      <c r="H35" s="85"/>
      <c r="I35" s="84"/>
      <c r="J35" s="85"/>
      <c r="K35" s="85"/>
      <c r="L35" s="25"/>
      <c r="M35" s="85">
        <f t="shared" si="1"/>
        <v>0</v>
      </c>
      <c r="N35" s="25">
        <f t="shared" si="2"/>
        <v>0</v>
      </c>
      <c r="O35" s="85"/>
      <c r="P35" s="85"/>
      <c r="Q35" s="85"/>
      <c r="R35" s="85">
        <f t="shared" si="3"/>
        <v>0</v>
      </c>
      <c r="S35" s="85"/>
      <c r="T35" s="85">
        <v>33183.4</v>
      </c>
      <c r="U35" s="85"/>
      <c r="V35" s="85"/>
      <c r="W35" s="85"/>
      <c r="X35" s="85"/>
      <c r="Y35" s="85"/>
      <c r="Z35" s="85">
        <v>33183.4</v>
      </c>
      <c r="AA35" s="86">
        <v>46034</v>
      </c>
      <c r="AB35" s="87" t="s">
        <v>121</v>
      </c>
      <c r="AC35" s="88">
        <v>3338</v>
      </c>
      <c r="AD35" s="85"/>
      <c r="AE35" s="25">
        <f t="shared" si="0"/>
        <v>33183.4</v>
      </c>
      <c r="AF35" s="69">
        <f t="shared" si="4"/>
        <v>7129564.0799999991</v>
      </c>
      <c r="AG35" s="1">
        <v>50211990</v>
      </c>
      <c r="AH35" s="6"/>
      <c r="AI35" s="4"/>
      <c r="AJ35" s="77"/>
      <c r="AK35" s="78"/>
      <c r="AL35" s="77"/>
      <c r="AM35" s="78"/>
      <c r="AN35" s="14"/>
      <c r="AO35" s="14"/>
      <c r="AP35" s="4"/>
      <c r="AQ35" s="34" t="s">
        <v>102</v>
      </c>
      <c r="AR35" s="34"/>
      <c r="AS35" s="34"/>
      <c r="AT35" s="34"/>
      <c r="AU35" s="34"/>
      <c r="AV35" s="85">
        <v>33183.4</v>
      </c>
      <c r="AW35" s="34"/>
      <c r="AX35" s="4"/>
    </row>
    <row r="36" spans="1:50" x14ac:dyDescent="0.3">
      <c r="A36" s="79" t="s">
        <v>121</v>
      </c>
      <c r="B36" s="80" t="s">
        <v>146</v>
      </c>
      <c r="C36" s="80" t="s">
        <v>147</v>
      </c>
      <c r="D36" s="25" t="s">
        <v>124</v>
      </c>
      <c r="E36" s="81" t="s">
        <v>148</v>
      </c>
      <c r="F36" s="80" t="s">
        <v>149</v>
      </c>
      <c r="G36" s="82" t="s">
        <v>79</v>
      </c>
      <c r="H36" s="85"/>
      <c r="I36" s="84"/>
      <c r="J36" s="85"/>
      <c r="K36" s="85"/>
      <c r="L36" s="25"/>
      <c r="M36" s="85">
        <f t="shared" si="1"/>
        <v>0</v>
      </c>
      <c r="N36" s="25">
        <f t="shared" si="2"/>
        <v>0</v>
      </c>
      <c r="O36" s="85"/>
      <c r="P36" s="85"/>
      <c r="Q36" s="85"/>
      <c r="R36" s="85">
        <f t="shared" si="3"/>
        <v>0</v>
      </c>
      <c r="S36" s="85"/>
      <c r="T36" s="85">
        <v>35127.859999999993</v>
      </c>
      <c r="U36" s="85"/>
      <c r="V36" s="85"/>
      <c r="W36" s="85"/>
      <c r="X36" s="85"/>
      <c r="Y36" s="85"/>
      <c r="Z36" s="85">
        <v>35127.859999999993</v>
      </c>
      <c r="AA36" s="86">
        <v>46034</v>
      </c>
      <c r="AB36" s="87" t="s">
        <v>121</v>
      </c>
      <c r="AC36" s="88">
        <v>3338</v>
      </c>
      <c r="AD36" s="85"/>
      <c r="AE36" s="25">
        <f t="shared" si="0"/>
        <v>35127.859999999993</v>
      </c>
      <c r="AF36" s="69">
        <f t="shared" si="4"/>
        <v>7094436.2199999988</v>
      </c>
      <c r="AG36" s="1">
        <v>50211990</v>
      </c>
      <c r="AH36" s="6"/>
      <c r="AI36" s="4"/>
      <c r="AJ36" s="77"/>
      <c r="AK36" s="78"/>
      <c r="AL36" s="77"/>
      <c r="AM36" s="78"/>
      <c r="AN36" s="14"/>
      <c r="AO36" s="14"/>
      <c r="AP36" s="4"/>
      <c r="AQ36" s="34" t="s">
        <v>102</v>
      </c>
      <c r="AR36" s="34"/>
      <c r="AS36" s="34"/>
      <c r="AT36" s="34"/>
      <c r="AU36" s="34"/>
      <c r="AV36" s="85">
        <v>35127.859999999993</v>
      </c>
      <c r="AW36" s="34"/>
      <c r="AX36" s="4"/>
    </row>
    <row r="37" spans="1:50" x14ac:dyDescent="0.3">
      <c r="A37" s="79" t="s">
        <v>121</v>
      </c>
      <c r="B37" s="80" t="s">
        <v>146</v>
      </c>
      <c r="C37" s="80" t="s">
        <v>147</v>
      </c>
      <c r="D37" s="25" t="s">
        <v>124</v>
      </c>
      <c r="E37" s="81" t="s">
        <v>150</v>
      </c>
      <c r="F37" s="80" t="s">
        <v>149</v>
      </c>
      <c r="G37" s="82" t="s">
        <v>79</v>
      </c>
      <c r="H37" s="85"/>
      <c r="I37" s="84"/>
      <c r="J37" s="85"/>
      <c r="K37" s="85"/>
      <c r="L37" s="25"/>
      <c r="M37" s="85">
        <f t="shared" si="1"/>
        <v>0</v>
      </c>
      <c r="N37" s="25">
        <f t="shared" si="2"/>
        <v>0</v>
      </c>
      <c r="O37" s="85"/>
      <c r="P37" s="85"/>
      <c r="Q37" s="85"/>
      <c r="R37" s="85">
        <f t="shared" si="3"/>
        <v>0</v>
      </c>
      <c r="S37" s="85"/>
      <c r="T37" s="85">
        <v>80537.33</v>
      </c>
      <c r="U37" s="85"/>
      <c r="V37" s="85"/>
      <c r="W37" s="85"/>
      <c r="X37" s="85"/>
      <c r="Y37" s="85"/>
      <c r="Z37" s="85">
        <v>80537.33</v>
      </c>
      <c r="AA37" s="86">
        <v>46034</v>
      </c>
      <c r="AB37" s="87" t="s">
        <v>121</v>
      </c>
      <c r="AC37" s="88">
        <v>3338</v>
      </c>
      <c r="AD37" s="85"/>
      <c r="AE37" s="25">
        <f t="shared" si="0"/>
        <v>80537.33</v>
      </c>
      <c r="AF37" s="69">
        <f t="shared" si="4"/>
        <v>7013898.8899999987</v>
      </c>
      <c r="AG37" s="1">
        <v>50211990</v>
      </c>
      <c r="AH37" s="6"/>
      <c r="AI37" s="4"/>
      <c r="AJ37" s="77"/>
      <c r="AK37" s="78"/>
      <c r="AL37" s="77"/>
      <c r="AM37" s="78"/>
      <c r="AN37" s="14"/>
      <c r="AO37" s="14"/>
      <c r="AP37" s="4"/>
      <c r="AQ37" s="34" t="s">
        <v>102</v>
      </c>
      <c r="AR37" s="34"/>
      <c r="AS37" s="34"/>
      <c r="AT37" s="34"/>
      <c r="AU37" s="34"/>
      <c r="AV37" s="85">
        <v>80537.33</v>
      </c>
      <c r="AW37" s="34"/>
      <c r="AX37" s="4"/>
    </row>
    <row r="38" spans="1:50" x14ac:dyDescent="0.3">
      <c r="A38" s="79" t="s">
        <v>121</v>
      </c>
      <c r="B38" s="80" t="s">
        <v>146</v>
      </c>
      <c r="C38" s="80" t="s">
        <v>147</v>
      </c>
      <c r="D38" s="25" t="s">
        <v>124</v>
      </c>
      <c r="E38" s="81" t="s">
        <v>151</v>
      </c>
      <c r="F38" s="80" t="s">
        <v>149</v>
      </c>
      <c r="G38" s="82" t="s">
        <v>79</v>
      </c>
      <c r="H38" s="85"/>
      <c r="I38" s="84"/>
      <c r="J38" s="85"/>
      <c r="K38" s="85"/>
      <c r="L38" s="25"/>
      <c r="M38" s="85">
        <f t="shared" si="1"/>
        <v>0</v>
      </c>
      <c r="N38" s="25">
        <f t="shared" si="2"/>
        <v>0</v>
      </c>
      <c r="O38" s="85"/>
      <c r="P38" s="85"/>
      <c r="Q38" s="85"/>
      <c r="R38" s="85">
        <f t="shared" si="3"/>
        <v>0</v>
      </c>
      <c r="S38" s="85"/>
      <c r="T38" s="85">
        <v>29111.3</v>
      </c>
      <c r="U38" s="85"/>
      <c r="V38" s="85"/>
      <c r="W38" s="85"/>
      <c r="X38" s="85"/>
      <c r="Y38" s="85"/>
      <c r="Z38" s="85">
        <v>29111.3</v>
      </c>
      <c r="AA38" s="86">
        <v>46034</v>
      </c>
      <c r="AB38" s="87" t="s">
        <v>121</v>
      </c>
      <c r="AC38" s="88">
        <v>3338</v>
      </c>
      <c r="AD38" s="85"/>
      <c r="AE38" s="25">
        <f t="shared" si="0"/>
        <v>29111.3</v>
      </c>
      <c r="AF38" s="69">
        <f t="shared" si="4"/>
        <v>6984787.5899999989</v>
      </c>
      <c r="AG38" s="1">
        <v>50211990</v>
      </c>
      <c r="AH38" s="6"/>
      <c r="AI38" s="4"/>
      <c r="AJ38" s="77"/>
      <c r="AK38" s="78"/>
      <c r="AL38" s="77"/>
      <c r="AM38" s="78"/>
      <c r="AN38" s="14"/>
      <c r="AO38" s="14"/>
      <c r="AP38" s="4"/>
      <c r="AQ38" s="34" t="s">
        <v>102</v>
      </c>
      <c r="AR38" s="34"/>
      <c r="AS38" s="34"/>
      <c r="AT38" s="34"/>
      <c r="AU38" s="34"/>
      <c r="AV38" s="85">
        <v>29111.3</v>
      </c>
      <c r="AW38" s="34"/>
      <c r="AX38" s="4"/>
    </row>
    <row r="39" spans="1:50" x14ac:dyDescent="0.3">
      <c r="A39" s="79" t="s">
        <v>121</v>
      </c>
      <c r="B39" s="80" t="s">
        <v>146</v>
      </c>
      <c r="C39" s="80" t="s">
        <v>147</v>
      </c>
      <c r="D39" s="25" t="s">
        <v>124</v>
      </c>
      <c r="E39" s="81" t="s">
        <v>150</v>
      </c>
      <c r="F39" s="80" t="s">
        <v>149</v>
      </c>
      <c r="G39" s="82" t="s">
        <v>79</v>
      </c>
      <c r="H39" s="85"/>
      <c r="I39" s="84"/>
      <c r="J39" s="85"/>
      <c r="K39" s="85"/>
      <c r="L39" s="25"/>
      <c r="M39" s="85">
        <f t="shared" si="1"/>
        <v>0</v>
      </c>
      <c r="N39" s="25">
        <f t="shared" si="2"/>
        <v>0</v>
      </c>
      <c r="O39" s="85"/>
      <c r="P39" s="85"/>
      <c r="Q39" s="85"/>
      <c r="R39" s="85">
        <f t="shared" si="3"/>
        <v>0</v>
      </c>
      <c r="S39" s="85"/>
      <c r="T39" s="85">
        <v>15044.47</v>
      </c>
      <c r="U39" s="85"/>
      <c r="V39" s="85">
        <v>193004.36</v>
      </c>
      <c r="W39" s="85"/>
      <c r="X39" s="85"/>
      <c r="Y39" s="85"/>
      <c r="Z39" s="85">
        <v>15044.47</v>
      </c>
      <c r="AA39" s="86">
        <v>46034</v>
      </c>
      <c r="AB39" s="87" t="s">
        <v>121</v>
      </c>
      <c r="AC39" s="88">
        <v>3338</v>
      </c>
      <c r="AD39" s="85"/>
      <c r="AE39" s="25">
        <f t="shared" si="0"/>
        <v>15044.47</v>
      </c>
      <c r="AF39" s="69">
        <f t="shared" si="4"/>
        <v>6969743.1199999992</v>
      </c>
      <c r="AG39" s="1">
        <v>50211990</v>
      </c>
      <c r="AH39" s="6"/>
      <c r="AI39" s="4"/>
      <c r="AJ39" s="77">
        <v>46034</v>
      </c>
      <c r="AK39" s="78">
        <v>0.375</v>
      </c>
      <c r="AL39" s="77">
        <v>46034</v>
      </c>
      <c r="AM39" s="78">
        <v>0.46180555555555558</v>
      </c>
      <c r="AN39" s="14" t="str">
        <f>+TEXT(AM39-AK39,"h:mm")</f>
        <v>2:05</v>
      </c>
      <c r="AO39" s="14">
        <f>+AN39/10</f>
        <v>8.6805555555555559E-3</v>
      </c>
      <c r="AP39" s="4"/>
      <c r="AQ39" s="34" t="s">
        <v>102</v>
      </c>
      <c r="AR39" s="34"/>
      <c r="AS39" s="34"/>
      <c r="AT39" s="34"/>
      <c r="AU39" s="34"/>
      <c r="AV39" s="85">
        <v>15044.47</v>
      </c>
      <c r="AW39" s="34"/>
      <c r="AX39" s="4"/>
    </row>
    <row r="40" spans="1:50" x14ac:dyDescent="0.3">
      <c r="A40" s="79" t="s">
        <v>121</v>
      </c>
      <c r="B40" s="80" t="s">
        <v>152</v>
      </c>
      <c r="C40" s="80" t="s">
        <v>153</v>
      </c>
      <c r="D40" s="25" t="s">
        <v>124</v>
      </c>
      <c r="E40" s="81" t="s">
        <v>154</v>
      </c>
      <c r="F40" s="80" t="s">
        <v>155</v>
      </c>
      <c r="G40" s="82" t="s">
        <v>79</v>
      </c>
      <c r="H40" s="85"/>
      <c r="I40" s="84"/>
      <c r="J40" s="85"/>
      <c r="K40" s="85"/>
      <c r="L40" s="25"/>
      <c r="M40" s="85">
        <f t="shared" si="1"/>
        <v>0</v>
      </c>
      <c r="N40" s="25">
        <f t="shared" si="2"/>
        <v>0</v>
      </c>
      <c r="O40" s="85"/>
      <c r="P40" s="85"/>
      <c r="Q40" s="85"/>
      <c r="R40" s="85">
        <f t="shared" si="3"/>
        <v>0</v>
      </c>
      <c r="S40" s="85"/>
      <c r="T40" s="85">
        <v>11049.41</v>
      </c>
      <c r="U40" s="85"/>
      <c r="V40" s="85"/>
      <c r="W40" s="85"/>
      <c r="X40" s="85"/>
      <c r="Y40" s="85"/>
      <c r="Z40" s="85">
        <v>11049.41</v>
      </c>
      <c r="AA40" s="86">
        <v>46034</v>
      </c>
      <c r="AB40" s="87" t="s">
        <v>121</v>
      </c>
      <c r="AC40" s="88">
        <v>3340</v>
      </c>
      <c r="AD40" s="85"/>
      <c r="AE40" s="25">
        <f t="shared" si="0"/>
        <v>11049.41</v>
      </c>
      <c r="AF40" s="69">
        <f t="shared" si="4"/>
        <v>6958693.709999999</v>
      </c>
      <c r="AG40" s="1">
        <v>50211990</v>
      </c>
      <c r="AH40" s="6"/>
      <c r="AI40" s="4"/>
      <c r="AJ40" s="77"/>
      <c r="AK40" s="78"/>
      <c r="AL40" s="77"/>
      <c r="AM40" s="78"/>
      <c r="AN40" s="14"/>
      <c r="AO40" s="14"/>
      <c r="AP40" s="4"/>
      <c r="AQ40" s="34" t="s">
        <v>102</v>
      </c>
      <c r="AR40" s="34"/>
      <c r="AS40" s="34"/>
      <c r="AT40" s="34"/>
      <c r="AU40" s="34"/>
      <c r="AV40" s="85">
        <v>11049.41</v>
      </c>
      <c r="AW40" s="34"/>
      <c r="AX40" s="4"/>
    </row>
    <row r="41" spans="1:50" x14ac:dyDescent="0.3">
      <c r="A41" s="79" t="s">
        <v>121</v>
      </c>
      <c r="B41" s="80" t="s">
        <v>152</v>
      </c>
      <c r="C41" s="80" t="s">
        <v>153</v>
      </c>
      <c r="D41" s="25" t="s">
        <v>124</v>
      </c>
      <c r="E41" s="81" t="s">
        <v>156</v>
      </c>
      <c r="F41" s="80" t="s">
        <v>155</v>
      </c>
      <c r="G41" s="82" t="s">
        <v>79</v>
      </c>
      <c r="H41" s="85"/>
      <c r="I41" s="84"/>
      <c r="J41" s="85"/>
      <c r="K41" s="85"/>
      <c r="L41" s="85"/>
      <c r="M41" s="85">
        <f t="shared" si="1"/>
        <v>0</v>
      </c>
      <c r="N41" s="25">
        <f t="shared" si="2"/>
        <v>0</v>
      </c>
      <c r="O41" s="85"/>
      <c r="P41" s="85"/>
      <c r="Q41" s="85"/>
      <c r="R41" s="85">
        <f t="shared" si="3"/>
        <v>0</v>
      </c>
      <c r="S41" s="85"/>
      <c r="T41" s="85">
        <v>7899.2799999999988</v>
      </c>
      <c r="U41" s="85"/>
      <c r="V41" s="85"/>
      <c r="W41" s="85"/>
      <c r="X41" s="85"/>
      <c r="Y41" s="85"/>
      <c r="Z41" s="85">
        <v>7899.2799999999988</v>
      </c>
      <c r="AA41" s="86">
        <v>46034</v>
      </c>
      <c r="AB41" s="87" t="s">
        <v>121</v>
      </c>
      <c r="AC41" s="88">
        <v>3340</v>
      </c>
      <c r="AD41" s="85"/>
      <c r="AE41" s="25">
        <f t="shared" si="0"/>
        <v>7899.2799999999988</v>
      </c>
      <c r="AF41" s="69">
        <f t="shared" si="4"/>
        <v>6950794.4299999988</v>
      </c>
      <c r="AG41" s="1">
        <v>50211990</v>
      </c>
      <c r="AH41" s="6"/>
      <c r="AI41" s="4"/>
      <c r="AJ41" s="77"/>
      <c r="AK41" s="78"/>
      <c r="AL41" s="77"/>
      <c r="AM41" s="78"/>
      <c r="AN41" s="14"/>
      <c r="AO41" s="14"/>
      <c r="AP41" s="4"/>
      <c r="AQ41" s="34" t="s">
        <v>102</v>
      </c>
      <c r="AR41" s="34"/>
      <c r="AS41" s="34"/>
      <c r="AT41" s="34"/>
      <c r="AU41" s="34"/>
      <c r="AV41" s="85">
        <v>7899.2799999999988</v>
      </c>
      <c r="AW41" s="34"/>
      <c r="AX41" s="4"/>
    </row>
    <row r="42" spans="1:50" x14ac:dyDescent="0.3">
      <c r="A42" s="79" t="s">
        <v>121</v>
      </c>
      <c r="B42" s="80" t="s">
        <v>152</v>
      </c>
      <c r="C42" s="80" t="s">
        <v>153</v>
      </c>
      <c r="D42" s="25" t="s">
        <v>124</v>
      </c>
      <c r="E42" s="81" t="s">
        <v>157</v>
      </c>
      <c r="F42" s="80" t="s">
        <v>155</v>
      </c>
      <c r="G42" s="82" t="s">
        <v>79</v>
      </c>
      <c r="H42" s="85"/>
      <c r="I42" s="85"/>
      <c r="J42" s="85"/>
      <c r="K42" s="85"/>
      <c r="L42" s="85"/>
      <c r="M42" s="85">
        <f t="shared" si="1"/>
        <v>0</v>
      </c>
      <c r="N42" s="25">
        <f t="shared" si="2"/>
        <v>0</v>
      </c>
      <c r="O42" s="85"/>
      <c r="P42" s="85"/>
      <c r="Q42" s="85"/>
      <c r="R42" s="85">
        <f t="shared" si="3"/>
        <v>0</v>
      </c>
      <c r="S42" s="85"/>
      <c r="T42" s="85">
        <v>15339.87</v>
      </c>
      <c r="U42" s="85"/>
      <c r="V42" s="85"/>
      <c r="W42" s="85"/>
      <c r="X42" s="85"/>
      <c r="Y42" s="85"/>
      <c r="Z42" s="85">
        <v>15339.87</v>
      </c>
      <c r="AA42" s="86">
        <v>46034</v>
      </c>
      <c r="AB42" s="87" t="s">
        <v>121</v>
      </c>
      <c r="AC42" s="88">
        <v>3340</v>
      </c>
      <c r="AD42" s="85"/>
      <c r="AE42" s="25">
        <f t="shared" si="0"/>
        <v>15339.87</v>
      </c>
      <c r="AF42" s="69">
        <f t="shared" si="4"/>
        <v>6935454.5599999987</v>
      </c>
      <c r="AG42" s="1">
        <v>50211990</v>
      </c>
      <c r="AH42" s="6"/>
      <c r="AI42" s="4"/>
      <c r="AJ42" s="91"/>
      <c r="AK42" s="91"/>
      <c r="AL42" s="91"/>
      <c r="AM42" s="91"/>
      <c r="AN42" s="91"/>
      <c r="AO42" s="91"/>
      <c r="AP42" s="4"/>
      <c r="AQ42" s="34" t="s">
        <v>102</v>
      </c>
      <c r="AR42" s="34"/>
      <c r="AS42" s="34"/>
      <c r="AT42" s="34"/>
      <c r="AU42" s="34"/>
      <c r="AV42" s="85">
        <v>15339.87</v>
      </c>
      <c r="AW42" s="34"/>
      <c r="AX42" s="4"/>
    </row>
    <row r="43" spans="1:50" x14ac:dyDescent="0.3">
      <c r="A43" s="79" t="s">
        <v>121</v>
      </c>
      <c r="B43" s="80" t="s">
        <v>152</v>
      </c>
      <c r="C43" s="80" t="s">
        <v>153</v>
      </c>
      <c r="D43" s="25" t="s">
        <v>124</v>
      </c>
      <c r="E43" s="81" t="s">
        <v>154</v>
      </c>
      <c r="F43" s="80" t="s">
        <v>155</v>
      </c>
      <c r="G43" s="82" t="s">
        <v>79</v>
      </c>
      <c r="H43" s="85"/>
      <c r="I43" s="84"/>
      <c r="J43" s="85"/>
      <c r="K43" s="85"/>
      <c r="L43" s="85"/>
      <c r="M43" s="85">
        <f t="shared" si="1"/>
        <v>0</v>
      </c>
      <c r="N43" s="25">
        <f t="shared" si="2"/>
        <v>0</v>
      </c>
      <c r="O43" s="85"/>
      <c r="P43" s="85"/>
      <c r="Q43" s="85"/>
      <c r="R43" s="85">
        <f t="shared" si="3"/>
        <v>0</v>
      </c>
      <c r="S43" s="85"/>
      <c r="T43" s="85">
        <v>24603.98</v>
      </c>
      <c r="U43" s="85"/>
      <c r="V43" s="85">
        <v>58892.54</v>
      </c>
      <c r="W43" s="85"/>
      <c r="X43" s="85"/>
      <c r="Y43" s="85"/>
      <c r="Z43" s="85">
        <v>24603.98</v>
      </c>
      <c r="AA43" s="86">
        <v>46034</v>
      </c>
      <c r="AB43" s="87" t="s">
        <v>121</v>
      </c>
      <c r="AC43" s="88">
        <v>3340</v>
      </c>
      <c r="AD43" s="85"/>
      <c r="AE43" s="25">
        <f t="shared" si="0"/>
        <v>24603.98</v>
      </c>
      <c r="AF43" s="69">
        <f t="shared" si="4"/>
        <v>6910850.5799999982</v>
      </c>
      <c r="AG43" s="1">
        <v>50211990</v>
      </c>
      <c r="AH43" s="6"/>
      <c r="AI43" s="4"/>
      <c r="AJ43" s="77">
        <v>46034</v>
      </c>
      <c r="AK43" s="78">
        <v>0.375</v>
      </c>
      <c r="AL43" s="77">
        <v>46034</v>
      </c>
      <c r="AM43" s="78">
        <v>0.46180555555555558</v>
      </c>
      <c r="AN43" s="14" t="str">
        <f t="shared" ref="AN43:AN44" si="9">+TEXT(AM43-AK43,"h:mm")</f>
        <v>2:05</v>
      </c>
      <c r="AO43" s="14">
        <f t="shared" ref="AO43:AO44" si="10">+AN43/10</f>
        <v>8.6805555555555559E-3</v>
      </c>
      <c r="AP43" s="4"/>
      <c r="AQ43" s="34" t="s">
        <v>102</v>
      </c>
      <c r="AR43" s="34"/>
      <c r="AS43" s="34"/>
      <c r="AT43" s="34"/>
      <c r="AU43" s="34"/>
      <c r="AV43" s="85">
        <v>24603.98</v>
      </c>
      <c r="AW43" s="34"/>
      <c r="AX43" s="4"/>
    </row>
    <row r="44" spans="1:50" x14ac:dyDescent="0.3">
      <c r="A44" s="79" t="s">
        <v>121</v>
      </c>
      <c r="B44" s="80" t="s">
        <v>158</v>
      </c>
      <c r="C44" s="80" t="s">
        <v>159</v>
      </c>
      <c r="D44" s="25" t="s">
        <v>124</v>
      </c>
      <c r="E44" s="81" t="s">
        <v>160</v>
      </c>
      <c r="F44" s="80" t="s">
        <v>161</v>
      </c>
      <c r="G44" s="82" t="s">
        <v>79</v>
      </c>
      <c r="H44" s="85"/>
      <c r="I44" s="84"/>
      <c r="J44" s="85"/>
      <c r="K44" s="85"/>
      <c r="L44" s="85"/>
      <c r="M44" s="85">
        <f t="shared" si="1"/>
        <v>0</v>
      </c>
      <c r="N44" s="25">
        <f t="shared" si="2"/>
        <v>0</v>
      </c>
      <c r="O44" s="85"/>
      <c r="P44" s="85"/>
      <c r="Q44" s="85"/>
      <c r="R44" s="85">
        <f t="shared" si="3"/>
        <v>0</v>
      </c>
      <c r="S44" s="85"/>
      <c r="T44" s="85">
        <v>174914.16</v>
      </c>
      <c r="U44" s="85"/>
      <c r="V44" s="85">
        <v>174914.16</v>
      </c>
      <c r="W44" s="85"/>
      <c r="X44" s="85"/>
      <c r="Y44" s="85"/>
      <c r="Z44" s="85">
        <v>174914.16</v>
      </c>
      <c r="AA44" s="86">
        <v>46034</v>
      </c>
      <c r="AB44" s="87" t="s">
        <v>121</v>
      </c>
      <c r="AC44" s="88">
        <v>3343</v>
      </c>
      <c r="AD44" s="85"/>
      <c r="AE44" s="25">
        <f t="shared" si="0"/>
        <v>174914.16</v>
      </c>
      <c r="AF44" s="69">
        <f t="shared" si="4"/>
        <v>6735936.4199999981</v>
      </c>
      <c r="AG44" s="1">
        <v>50211990</v>
      </c>
      <c r="AH44" s="6"/>
      <c r="AI44" s="4"/>
      <c r="AJ44" s="77">
        <v>46034</v>
      </c>
      <c r="AK44" s="78">
        <v>0.375</v>
      </c>
      <c r="AL44" s="77">
        <v>46034</v>
      </c>
      <c r="AM44" s="78">
        <v>0.46180555555555558</v>
      </c>
      <c r="AN44" s="14" t="str">
        <f t="shared" si="9"/>
        <v>2:05</v>
      </c>
      <c r="AO44" s="14">
        <f t="shared" si="10"/>
        <v>8.6805555555555559E-3</v>
      </c>
      <c r="AP44" s="4"/>
      <c r="AQ44" s="34" t="s">
        <v>102</v>
      </c>
      <c r="AR44" s="34"/>
      <c r="AS44" s="34"/>
      <c r="AT44" s="34"/>
      <c r="AU44" s="34"/>
      <c r="AV44" s="85">
        <v>174914.16</v>
      </c>
      <c r="AW44" s="34"/>
      <c r="AX44" s="4"/>
    </row>
    <row r="45" spans="1:50" x14ac:dyDescent="0.3">
      <c r="A45" s="79" t="s">
        <v>121</v>
      </c>
      <c r="B45" s="80" t="s">
        <v>162</v>
      </c>
      <c r="C45" s="80" t="s">
        <v>163</v>
      </c>
      <c r="D45" s="25" t="s">
        <v>124</v>
      </c>
      <c r="E45" s="81" t="s">
        <v>164</v>
      </c>
      <c r="F45" s="80" t="s">
        <v>165</v>
      </c>
      <c r="G45" s="82" t="s">
        <v>79</v>
      </c>
      <c r="H45" s="85"/>
      <c r="I45" s="84"/>
      <c r="J45" s="85"/>
      <c r="K45" s="85"/>
      <c r="L45" s="85"/>
      <c r="M45" s="85">
        <f t="shared" si="1"/>
        <v>0</v>
      </c>
      <c r="N45" s="25">
        <f t="shared" si="2"/>
        <v>0</v>
      </c>
      <c r="O45" s="85"/>
      <c r="P45" s="85"/>
      <c r="Q45" s="85"/>
      <c r="R45" s="85">
        <f t="shared" si="3"/>
        <v>0</v>
      </c>
      <c r="S45" s="85"/>
      <c r="T45" s="85">
        <v>27715.52</v>
      </c>
      <c r="U45" s="85"/>
      <c r="V45" s="85"/>
      <c r="W45" s="85"/>
      <c r="X45" s="85"/>
      <c r="Y45" s="85"/>
      <c r="Z45" s="85">
        <v>27715.52</v>
      </c>
      <c r="AA45" s="86">
        <v>46034</v>
      </c>
      <c r="AB45" s="87" t="s">
        <v>121</v>
      </c>
      <c r="AC45" s="88">
        <v>3344</v>
      </c>
      <c r="AD45" s="85"/>
      <c r="AE45" s="25">
        <f t="shared" si="0"/>
        <v>27715.52</v>
      </c>
      <c r="AF45" s="69">
        <f t="shared" si="4"/>
        <v>6708220.8999999985</v>
      </c>
      <c r="AG45" s="1">
        <v>50211990</v>
      </c>
      <c r="AH45" s="6"/>
      <c r="AI45" s="4"/>
      <c r="AJ45" s="77"/>
      <c r="AK45" s="78"/>
      <c r="AL45" s="77"/>
      <c r="AM45" s="78"/>
      <c r="AN45" s="14"/>
      <c r="AO45" s="14"/>
      <c r="AP45" s="4"/>
      <c r="AQ45" s="34" t="s">
        <v>102</v>
      </c>
      <c r="AR45" s="34"/>
      <c r="AS45" s="34"/>
      <c r="AT45" s="34"/>
      <c r="AU45" s="34"/>
      <c r="AV45" s="85">
        <v>27715.52</v>
      </c>
      <c r="AW45" s="34"/>
      <c r="AX45" s="4"/>
    </row>
    <row r="46" spans="1:50" x14ac:dyDescent="0.3">
      <c r="A46" s="79" t="s">
        <v>121</v>
      </c>
      <c r="B46" s="80" t="s">
        <v>162</v>
      </c>
      <c r="C46" s="80" t="s">
        <v>163</v>
      </c>
      <c r="D46" s="25" t="s">
        <v>124</v>
      </c>
      <c r="E46" s="81" t="s">
        <v>166</v>
      </c>
      <c r="F46" s="80" t="s">
        <v>165</v>
      </c>
      <c r="G46" s="82" t="s">
        <v>79</v>
      </c>
      <c r="H46" s="85"/>
      <c r="I46" s="84"/>
      <c r="J46" s="85"/>
      <c r="K46" s="85"/>
      <c r="L46" s="85"/>
      <c r="M46" s="85">
        <f t="shared" si="1"/>
        <v>0</v>
      </c>
      <c r="N46" s="25">
        <f t="shared" si="2"/>
        <v>0</v>
      </c>
      <c r="O46" s="85"/>
      <c r="P46" s="85"/>
      <c r="Q46" s="85"/>
      <c r="R46" s="85">
        <f t="shared" si="3"/>
        <v>0</v>
      </c>
      <c r="S46" s="85"/>
      <c r="T46" s="85">
        <v>15010.28</v>
      </c>
      <c r="U46" s="85"/>
      <c r="V46" s="85">
        <v>42725.8</v>
      </c>
      <c r="W46" s="85"/>
      <c r="X46" s="85"/>
      <c r="Y46" s="85"/>
      <c r="Z46" s="85">
        <v>15010.28</v>
      </c>
      <c r="AA46" s="86">
        <v>46034</v>
      </c>
      <c r="AB46" s="87" t="s">
        <v>121</v>
      </c>
      <c r="AC46" s="88">
        <v>3344</v>
      </c>
      <c r="AD46" s="85"/>
      <c r="AE46" s="25">
        <f t="shared" si="0"/>
        <v>15010.28</v>
      </c>
      <c r="AF46" s="69">
        <f t="shared" si="4"/>
        <v>6693210.6199999982</v>
      </c>
      <c r="AG46" s="1">
        <v>50211990</v>
      </c>
      <c r="AH46" s="6"/>
      <c r="AI46" s="4"/>
      <c r="AJ46" s="77">
        <v>46034</v>
      </c>
      <c r="AK46" s="78">
        <v>0.375</v>
      </c>
      <c r="AL46" s="77">
        <v>46034</v>
      </c>
      <c r="AM46" s="78">
        <v>0.46180555555555558</v>
      </c>
      <c r="AN46" s="14" t="str">
        <f t="shared" ref="AN46:AN47" si="11">+TEXT(AM46-AK46,"h:mm")</f>
        <v>2:05</v>
      </c>
      <c r="AO46" s="14">
        <f>+AN46/10</f>
        <v>8.6805555555555559E-3</v>
      </c>
      <c r="AP46" s="4"/>
      <c r="AQ46" s="34" t="s">
        <v>102</v>
      </c>
      <c r="AR46" s="34"/>
      <c r="AS46" s="34"/>
      <c r="AT46" s="34"/>
      <c r="AU46" s="34"/>
      <c r="AV46" s="85">
        <v>15010.28</v>
      </c>
      <c r="AW46" s="34"/>
      <c r="AX46" s="4"/>
    </row>
    <row r="47" spans="1:50" x14ac:dyDescent="0.3">
      <c r="A47" s="75" t="s">
        <v>80</v>
      </c>
      <c r="B47" s="65" t="s">
        <v>167</v>
      </c>
      <c r="C47" s="65" t="s">
        <v>123</v>
      </c>
      <c r="D47" s="69" t="s">
        <v>168</v>
      </c>
      <c r="E47" s="63" t="s">
        <v>84</v>
      </c>
      <c r="F47" s="65" t="s">
        <v>169</v>
      </c>
      <c r="G47" s="68" t="s">
        <v>79</v>
      </c>
      <c r="H47" s="73">
        <v>123029.42</v>
      </c>
      <c r="I47" s="73"/>
      <c r="J47" s="73"/>
      <c r="K47" s="73"/>
      <c r="L47" s="73"/>
      <c r="M47" s="73">
        <f>(T47-R47)-Z47-(624680.23-123029.42)-S47</f>
        <v>0</v>
      </c>
      <c r="N47" s="69">
        <f t="shared" si="2"/>
        <v>123029.42</v>
      </c>
      <c r="O47" s="73"/>
      <c r="P47" s="73"/>
      <c r="Q47" s="73"/>
      <c r="R47" s="69">
        <f t="shared" si="3"/>
        <v>123029.42</v>
      </c>
      <c r="S47" s="73">
        <f>531756.77-265878.42</f>
        <v>265878.35000000003</v>
      </c>
      <c r="T47" s="73">
        <v>1156437</v>
      </c>
      <c r="U47" s="73"/>
      <c r="V47" s="73"/>
      <c r="W47" s="73"/>
      <c r="X47" s="73"/>
      <c r="Y47" s="73">
        <v>1156437</v>
      </c>
      <c r="Z47" s="73">
        <v>265878.42</v>
      </c>
      <c r="AA47" s="70">
        <v>46034</v>
      </c>
      <c r="AB47" s="76" t="s">
        <v>80</v>
      </c>
      <c r="AC47" s="72" t="s">
        <v>170</v>
      </c>
      <c r="AD47" s="73"/>
      <c r="AE47" s="69">
        <f t="shared" si="0"/>
        <v>1033407.58</v>
      </c>
      <c r="AF47" s="69">
        <f t="shared" si="4"/>
        <v>5659803.0399999982</v>
      </c>
      <c r="AG47" s="1" t="s">
        <v>171</v>
      </c>
      <c r="AH47" s="6"/>
      <c r="AI47" s="4"/>
      <c r="AJ47" s="77">
        <v>46034</v>
      </c>
      <c r="AK47" s="78">
        <v>0.57291666666666663</v>
      </c>
      <c r="AL47" s="77">
        <v>46034</v>
      </c>
      <c r="AM47" s="78">
        <v>0.59583333333333333</v>
      </c>
      <c r="AN47" s="14" t="str">
        <f t="shared" si="11"/>
        <v>0:33</v>
      </c>
      <c r="AO47" s="14">
        <f>+AN47/3</f>
        <v>7.6388888888888886E-3</v>
      </c>
      <c r="AP47" s="4"/>
      <c r="AQ47" s="34" t="s">
        <v>102</v>
      </c>
      <c r="AR47" s="73">
        <v>265878.42</v>
      </c>
      <c r="AS47" s="34"/>
      <c r="AT47" s="34"/>
      <c r="AU47" s="34"/>
      <c r="AV47" s="34"/>
      <c r="AW47" s="34"/>
      <c r="AX47" s="4"/>
    </row>
    <row r="48" spans="1:50" x14ac:dyDescent="0.3">
      <c r="A48" s="79" t="s">
        <v>121</v>
      </c>
      <c r="B48" s="80" t="s">
        <v>172</v>
      </c>
      <c r="C48" s="80" t="s">
        <v>173</v>
      </c>
      <c r="D48" s="25" t="s">
        <v>124</v>
      </c>
      <c r="E48" s="81" t="s">
        <v>105</v>
      </c>
      <c r="F48" s="80" t="s">
        <v>174</v>
      </c>
      <c r="G48" s="82" t="s">
        <v>79</v>
      </c>
      <c r="H48" s="85"/>
      <c r="I48" s="85"/>
      <c r="J48" s="85"/>
      <c r="K48" s="85"/>
      <c r="L48" s="85"/>
      <c r="M48" s="85">
        <f t="shared" ref="M48:M59" si="12">(T48-R48)-Z48</f>
        <v>0</v>
      </c>
      <c r="N48" s="25">
        <f t="shared" si="2"/>
        <v>0</v>
      </c>
      <c r="O48" s="85"/>
      <c r="P48" s="85"/>
      <c r="Q48" s="85"/>
      <c r="R48" s="85">
        <f t="shared" si="3"/>
        <v>0</v>
      </c>
      <c r="S48" s="85"/>
      <c r="T48" s="85">
        <v>8807</v>
      </c>
      <c r="U48" s="85"/>
      <c r="V48" s="85"/>
      <c r="W48" s="85"/>
      <c r="X48" s="85"/>
      <c r="Y48" s="85"/>
      <c r="Z48" s="85">
        <v>8807</v>
      </c>
      <c r="AA48" s="86">
        <v>46034</v>
      </c>
      <c r="AB48" s="87" t="s">
        <v>121</v>
      </c>
      <c r="AC48" s="88">
        <v>3339</v>
      </c>
      <c r="AD48" s="85"/>
      <c r="AE48" s="25">
        <f t="shared" si="0"/>
        <v>8807</v>
      </c>
      <c r="AF48" s="69">
        <f t="shared" si="4"/>
        <v>5650996.0399999982</v>
      </c>
      <c r="AG48" s="1">
        <v>50211990</v>
      </c>
      <c r="AH48" s="6"/>
      <c r="AI48" s="4"/>
      <c r="AJ48" s="77"/>
      <c r="AK48" s="78"/>
      <c r="AL48" s="77"/>
      <c r="AM48" s="78"/>
      <c r="AN48" s="14"/>
      <c r="AO48" s="14"/>
      <c r="AP48" s="4"/>
      <c r="AQ48" s="34" t="s">
        <v>102</v>
      </c>
      <c r="AR48" s="34"/>
      <c r="AS48" s="34"/>
      <c r="AT48" s="34"/>
      <c r="AU48" s="34"/>
      <c r="AV48" s="85">
        <v>8807</v>
      </c>
      <c r="AW48" s="34"/>
      <c r="AX48" s="4"/>
    </row>
    <row r="49" spans="1:50" x14ac:dyDescent="0.3">
      <c r="A49" s="79" t="s">
        <v>121</v>
      </c>
      <c r="B49" s="80" t="s">
        <v>172</v>
      </c>
      <c r="C49" s="80" t="s">
        <v>173</v>
      </c>
      <c r="D49" s="25" t="s">
        <v>124</v>
      </c>
      <c r="E49" s="81" t="s">
        <v>105</v>
      </c>
      <c r="F49" s="80" t="s">
        <v>174</v>
      </c>
      <c r="G49" s="82" t="s">
        <v>79</v>
      </c>
      <c r="H49" s="85"/>
      <c r="I49" s="84"/>
      <c r="J49" s="85"/>
      <c r="K49" s="85"/>
      <c r="L49" s="85"/>
      <c r="M49" s="85">
        <f t="shared" si="12"/>
        <v>0</v>
      </c>
      <c r="N49" s="25">
        <f t="shared" si="2"/>
        <v>0</v>
      </c>
      <c r="O49" s="85"/>
      <c r="P49" s="85"/>
      <c r="Q49" s="85"/>
      <c r="R49" s="85">
        <f t="shared" si="3"/>
        <v>0</v>
      </c>
      <c r="S49" s="85"/>
      <c r="T49" s="85">
        <v>29520.58</v>
      </c>
      <c r="U49" s="85"/>
      <c r="V49" s="85"/>
      <c r="W49" s="85"/>
      <c r="X49" s="85"/>
      <c r="Y49" s="85"/>
      <c r="Z49" s="85">
        <v>29520.58</v>
      </c>
      <c r="AA49" s="86">
        <v>46034</v>
      </c>
      <c r="AB49" s="87" t="s">
        <v>121</v>
      </c>
      <c r="AC49" s="88">
        <v>3339</v>
      </c>
      <c r="AD49" s="85"/>
      <c r="AE49" s="25">
        <f t="shared" si="0"/>
        <v>29520.58</v>
      </c>
      <c r="AF49" s="69">
        <f t="shared" si="4"/>
        <v>5621475.4599999981</v>
      </c>
      <c r="AG49" s="1">
        <v>50211990</v>
      </c>
      <c r="AH49" s="6"/>
      <c r="AI49" s="4"/>
      <c r="AJ49" s="77"/>
      <c r="AK49" s="78"/>
      <c r="AL49" s="77"/>
      <c r="AM49" s="78"/>
      <c r="AN49" s="14"/>
      <c r="AO49" s="14"/>
      <c r="AP49" s="4"/>
      <c r="AQ49" s="34" t="s">
        <v>102</v>
      </c>
      <c r="AR49" s="34"/>
      <c r="AS49" s="34"/>
      <c r="AT49" s="34"/>
      <c r="AU49" s="34"/>
      <c r="AV49" s="85">
        <v>29520.58</v>
      </c>
      <c r="AW49" s="34"/>
      <c r="AX49" s="4"/>
    </row>
    <row r="50" spans="1:50" x14ac:dyDescent="0.3">
      <c r="A50" s="79" t="s">
        <v>121</v>
      </c>
      <c r="B50" s="80" t="s">
        <v>172</v>
      </c>
      <c r="C50" s="80" t="s">
        <v>173</v>
      </c>
      <c r="D50" s="25" t="s">
        <v>124</v>
      </c>
      <c r="E50" s="81" t="s">
        <v>175</v>
      </c>
      <c r="F50" s="80" t="s">
        <v>174</v>
      </c>
      <c r="G50" s="82" t="s">
        <v>79</v>
      </c>
      <c r="H50" s="85"/>
      <c r="I50" s="84"/>
      <c r="J50" s="85"/>
      <c r="K50" s="85"/>
      <c r="L50" s="85"/>
      <c r="M50" s="85">
        <f t="shared" si="12"/>
        <v>0</v>
      </c>
      <c r="N50" s="25">
        <f t="shared" si="2"/>
        <v>0</v>
      </c>
      <c r="O50" s="85"/>
      <c r="P50" s="85"/>
      <c r="Q50" s="85"/>
      <c r="R50" s="85">
        <f t="shared" si="3"/>
        <v>0</v>
      </c>
      <c r="S50" s="85"/>
      <c r="T50" s="85">
        <v>37338.340000000004</v>
      </c>
      <c r="U50" s="85"/>
      <c r="V50" s="85"/>
      <c r="W50" s="85"/>
      <c r="X50" s="85"/>
      <c r="Y50" s="85"/>
      <c r="Z50" s="85">
        <v>37338.340000000004</v>
      </c>
      <c r="AA50" s="86">
        <v>46034</v>
      </c>
      <c r="AB50" s="87" t="s">
        <v>121</v>
      </c>
      <c r="AC50" s="88">
        <v>3339</v>
      </c>
      <c r="AD50" s="85"/>
      <c r="AE50" s="25">
        <f t="shared" si="0"/>
        <v>37338.340000000004</v>
      </c>
      <c r="AF50" s="69">
        <f t="shared" si="4"/>
        <v>5584137.1199999982</v>
      </c>
      <c r="AG50" s="1">
        <v>50211990</v>
      </c>
      <c r="AH50" s="6"/>
      <c r="AI50" s="4"/>
      <c r="AJ50" s="77"/>
      <c r="AK50" s="78"/>
      <c r="AL50" s="77"/>
      <c r="AM50" s="78"/>
      <c r="AN50" s="14"/>
      <c r="AO50" s="14"/>
      <c r="AP50" s="4"/>
      <c r="AQ50" s="34" t="s">
        <v>102</v>
      </c>
      <c r="AR50" s="34"/>
      <c r="AS50" s="34"/>
      <c r="AT50" s="34"/>
      <c r="AU50" s="34"/>
      <c r="AV50" s="85">
        <v>37338.340000000004</v>
      </c>
      <c r="AW50" s="34"/>
      <c r="AX50" s="4"/>
    </row>
    <row r="51" spans="1:50" x14ac:dyDescent="0.3">
      <c r="A51" s="79" t="s">
        <v>121</v>
      </c>
      <c r="B51" s="80" t="s">
        <v>172</v>
      </c>
      <c r="C51" s="80" t="s">
        <v>173</v>
      </c>
      <c r="D51" s="25" t="s">
        <v>124</v>
      </c>
      <c r="E51" s="81" t="s">
        <v>150</v>
      </c>
      <c r="F51" s="80" t="s">
        <v>174</v>
      </c>
      <c r="G51" s="82" t="s">
        <v>79</v>
      </c>
      <c r="H51" s="85"/>
      <c r="I51" s="84"/>
      <c r="J51" s="85"/>
      <c r="K51" s="85"/>
      <c r="L51" s="85"/>
      <c r="M51" s="85">
        <f t="shared" si="12"/>
        <v>0</v>
      </c>
      <c r="N51" s="25">
        <f t="shared" si="2"/>
        <v>0</v>
      </c>
      <c r="O51" s="85"/>
      <c r="P51" s="85"/>
      <c r="Q51" s="85"/>
      <c r="R51" s="85">
        <f t="shared" si="3"/>
        <v>0</v>
      </c>
      <c r="S51" s="85"/>
      <c r="T51" s="85">
        <v>24618.23</v>
      </c>
      <c r="U51" s="85"/>
      <c r="V51" s="85">
        <v>100284.15</v>
      </c>
      <c r="W51" s="85"/>
      <c r="X51" s="85"/>
      <c r="Y51" s="85"/>
      <c r="Z51" s="85">
        <v>24618.23</v>
      </c>
      <c r="AA51" s="86">
        <v>46034</v>
      </c>
      <c r="AB51" s="87" t="s">
        <v>121</v>
      </c>
      <c r="AC51" s="88">
        <v>3339</v>
      </c>
      <c r="AD51" s="85"/>
      <c r="AE51" s="25">
        <f t="shared" si="0"/>
        <v>24618.23</v>
      </c>
      <c r="AF51" s="69">
        <f t="shared" si="4"/>
        <v>5559518.8899999978</v>
      </c>
      <c r="AG51" s="1">
        <v>50211990</v>
      </c>
      <c r="AH51" s="6"/>
      <c r="AI51" s="4"/>
      <c r="AJ51" s="77">
        <v>46034</v>
      </c>
      <c r="AK51" s="78">
        <v>0.57291666666666663</v>
      </c>
      <c r="AL51" s="77">
        <v>46034</v>
      </c>
      <c r="AM51" s="78">
        <v>0.59583333333333333</v>
      </c>
      <c r="AN51" s="14" t="str">
        <f>+TEXT(AM51-AK51,"h:mm")</f>
        <v>0:33</v>
      </c>
      <c r="AO51" s="14">
        <f>+AN51/3</f>
        <v>7.6388888888888886E-3</v>
      </c>
      <c r="AP51" s="4"/>
      <c r="AQ51" s="34" t="s">
        <v>102</v>
      </c>
      <c r="AR51" s="34"/>
      <c r="AS51" s="34"/>
      <c r="AT51" s="34"/>
      <c r="AU51" s="34"/>
      <c r="AV51" s="85">
        <v>24618.23</v>
      </c>
      <c r="AW51" s="34"/>
      <c r="AX51" s="4"/>
    </row>
    <row r="52" spans="1:50" x14ac:dyDescent="0.3">
      <c r="A52" s="79" t="s">
        <v>121</v>
      </c>
      <c r="B52" s="80" t="s">
        <v>176</v>
      </c>
      <c r="C52" s="80" t="s">
        <v>177</v>
      </c>
      <c r="D52" s="25" t="s">
        <v>124</v>
      </c>
      <c r="E52" s="81" t="s">
        <v>145</v>
      </c>
      <c r="F52" s="80" t="s">
        <v>178</v>
      </c>
      <c r="G52" s="82" t="s">
        <v>79</v>
      </c>
      <c r="H52" s="85"/>
      <c r="I52" s="85"/>
      <c r="J52" s="85"/>
      <c r="K52" s="85"/>
      <c r="L52" s="85"/>
      <c r="M52" s="85">
        <f t="shared" si="12"/>
        <v>0</v>
      </c>
      <c r="N52" s="25">
        <f t="shared" si="2"/>
        <v>0</v>
      </c>
      <c r="O52" s="85"/>
      <c r="P52" s="85"/>
      <c r="Q52" s="85"/>
      <c r="R52" s="85">
        <f t="shared" si="3"/>
        <v>0</v>
      </c>
      <c r="S52" s="85"/>
      <c r="T52" s="85">
        <v>18242.34</v>
      </c>
      <c r="U52" s="85"/>
      <c r="V52" s="85"/>
      <c r="W52" s="85"/>
      <c r="X52" s="85"/>
      <c r="Y52" s="85"/>
      <c r="Z52" s="85">
        <v>18242.34</v>
      </c>
      <c r="AA52" s="86">
        <v>46034</v>
      </c>
      <c r="AB52" s="87" t="s">
        <v>121</v>
      </c>
      <c r="AC52" s="88">
        <v>3337</v>
      </c>
      <c r="AD52" s="85"/>
      <c r="AE52" s="25">
        <f t="shared" si="0"/>
        <v>18242.34</v>
      </c>
      <c r="AF52" s="69">
        <f t="shared" si="4"/>
        <v>5541276.549999998</v>
      </c>
      <c r="AG52" s="1">
        <v>50211990</v>
      </c>
      <c r="AH52" s="6"/>
      <c r="AI52" s="4"/>
      <c r="AJ52" s="77"/>
      <c r="AK52" s="78"/>
      <c r="AL52" s="77"/>
      <c r="AM52" s="78"/>
      <c r="AN52" s="14"/>
      <c r="AO52" s="14"/>
      <c r="AP52" s="4"/>
      <c r="AQ52" s="34" t="s">
        <v>102</v>
      </c>
      <c r="AR52" s="34"/>
      <c r="AS52" s="34"/>
      <c r="AT52" s="34"/>
      <c r="AU52" s="34"/>
      <c r="AV52" s="85">
        <v>18242.34</v>
      </c>
      <c r="AW52" s="34"/>
      <c r="AX52" s="4"/>
    </row>
    <row r="53" spans="1:50" x14ac:dyDescent="0.3">
      <c r="A53" s="79" t="s">
        <v>121</v>
      </c>
      <c r="B53" s="80" t="s">
        <v>176</v>
      </c>
      <c r="C53" s="80" t="s">
        <v>177</v>
      </c>
      <c r="D53" s="25" t="s">
        <v>124</v>
      </c>
      <c r="E53" s="81" t="s">
        <v>179</v>
      </c>
      <c r="F53" s="80" t="s">
        <v>178</v>
      </c>
      <c r="G53" s="82" t="s">
        <v>79</v>
      </c>
      <c r="H53" s="85"/>
      <c r="I53" s="85"/>
      <c r="J53" s="85"/>
      <c r="K53" s="85"/>
      <c r="L53" s="85"/>
      <c r="M53" s="85">
        <f t="shared" si="12"/>
        <v>0</v>
      </c>
      <c r="N53" s="25">
        <f t="shared" si="2"/>
        <v>0</v>
      </c>
      <c r="O53" s="85"/>
      <c r="P53" s="85"/>
      <c r="Q53" s="85"/>
      <c r="R53" s="85">
        <f t="shared" si="3"/>
        <v>0</v>
      </c>
      <c r="S53" s="85"/>
      <c r="T53" s="85">
        <v>14785.18</v>
      </c>
      <c r="U53" s="85"/>
      <c r="V53" s="85"/>
      <c r="W53" s="85"/>
      <c r="X53" s="85"/>
      <c r="Y53" s="85"/>
      <c r="Z53" s="85">
        <v>14785.18</v>
      </c>
      <c r="AA53" s="86">
        <v>46034</v>
      </c>
      <c r="AB53" s="87" t="s">
        <v>121</v>
      </c>
      <c r="AC53" s="88">
        <v>3337</v>
      </c>
      <c r="AD53" s="85"/>
      <c r="AE53" s="25">
        <f t="shared" si="0"/>
        <v>14785.18</v>
      </c>
      <c r="AF53" s="69">
        <f t="shared" si="4"/>
        <v>5526491.3699999982</v>
      </c>
      <c r="AG53" s="1">
        <v>50211990</v>
      </c>
      <c r="AH53" s="6"/>
      <c r="AI53" s="4"/>
      <c r="AJ53" s="77"/>
      <c r="AK53" s="78"/>
      <c r="AL53" s="77"/>
      <c r="AM53" s="78"/>
      <c r="AN53" s="14"/>
      <c r="AO53" s="14"/>
      <c r="AP53" s="4"/>
      <c r="AQ53" s="34" t="s">
        <v>102</v>
      </c>
      <c r="AR53" s="34"/>
      <c r="AS53" s="34"/>
      <c r="AT53" s="34"/>
      <c r="AU53" s="34"/>
      <c r="AV53" s="85">
        <v>14785.18</v>
      </c>
      <c r="AW53" s="34"/>
      <c r="AX53" s="4"/>
    </row>
    <row r="54" spans="1:50" x14ac:dyDescent="0.3">
      <c r="A54" s="79" t="s">
        <v>121</v>
      </c>
      <c r="B54" s="80" t="s">
        <v>176</v>
      </c>
      <c r="C54" s="80" t="s">
        <v>177</v>
      </c>
      <c r="D54" s="25" t="s">
        <v>124</v>
      </c>
      <c r="E54" s="81" t="s">
        <v>180</v>
      </c>
      <c r="F54" s="80" t="s">
        <v>178</v>
      </c>
      <c r="G54" s="82" t="s">
        <v>79</v>
      </c>
      <c r="H54" s="85"/>
      <c r="I54" s="85"/>
      <c r="J54" s="85"/>
      <c r="K54" s="85"/>
      <c r="L54" s="85"/>
      <c r="M54" s="85">
        <f t="shared" si="12"/>
        <v>0</v>
      </c>
      <c r="N54" s="25">
        <f t="shared" si="2"/>
        <v>0</v>
      </c>
      <c r="O54" s="85"/>
      <c r="P54" s="85"/>
      <c r="Q54" s="85"/>
      <c r="R54" s="85">
        <f t="shared" si="3"/>
        <v>0</v>
      </c>
      <c r="S54" s="85"/>
      <c r="T54" s="85">
        <v>24947.859999999997</v>
      </c>
      <c r="U54" s="85"/>
      <c r="V54" s="85"/>
      <c r="W54" s="85"/>
      <c r="X54" s="85"/>
      <c r="Y54" s="85"/>
      <c r="Z54" s="85">
        <v>24947.859999999997</v>
      </c>
      <c r="AA54" s="86">
        <v>46034</v>
      </c>
      <c r="AB54" s="87" t="s">
        <v>121</v>
      </c>
      <c r="AC54" s="88">
        <v>3337</v>
      </c>
      <c r="AD54" s="85"/>
      <c r="AE54" s="25">
        <f t="shared" si="0"/>
        <v>24947.859999999997</v>
      </c>
      <c r="AF54" s="69">
        <f t="shared" si="4"/>
        <v>5501543.5099999979</v>
      </c>
      <c r="AG54" s="1">
        <v>50211990</v>
      </c>
      <c r="AH54" s="6"/>
      <c r="AI54" s="4"/>
      <c r="AJ54" s="77"/>
      <c r="AK54" s="78"/>
      <c r="AL54" s="77"/>
      <c r="AM54" s="78"/>
      <c r="AN54" s="14"/>
      <c r="AO54" s="14"/>
      <c r="AP54" s="4"/>
      <c r="AQ54" s="34" t="s">
        <v>102</v>
      </c>
      <c r="AR54" s="34"/>
      <c r="AS54" s="34"/>
      <c r="AT54" s="34"/>
      <c r="AU54" s="34"/>
      <c r="AV54" s="85">
        <v>24947.859999999997</v>
      </c>
      <c r="AW54" s="34"/>
      <c r="AX54" s="4"/>
    </row>
    <row r="55" spans="1:50" x14ac:dyDescent="0.3">
      <c r="A55" s="79" t="s">
        <v>121</v>
      </c>
      <c r="B55" s="80" t="s">
        <v>176</v>
      </c>
      <c r="C55" s="80" t="s">
        <v>177</v>
      </c>
      <c r="D55" s="25" t="s">
        <v>124</v>
      </c>
      <c r="E55" s="81" t="s">
        <v>181</v>
      </c>
      <c r="F55" s="80" t="s">
        <v>178</v>
      </c>
      <c r="G55" s="82" t="s">
        <v>79</v>
      </c>
      <c r="H55" s="85"/>
      <c r="I55" s="85"/>
      <c r="J55" s="85"/>
      <c r="K55" s="85"/>
      <c r="L55" s="85"/>
      <c r="M55" s="85">
        <f t="shared" si="12"/>
        <v>0</v>
      </c>
      <c r="N55" s="25">
        <f t="shared" si="2"/>
        <v>0</v>
      </c>
      <c r="O55" s="85"/>
      <c r="P55" s="85"/>
      <c r="Q55" s="85"/>
      <c r="R55" s="85">
        <f t="shared" si="3"/>
        <v>0</v>
      </c>
      <c r="S55" s="85"/>
      <c r="T55" s="85">
        <v>30390.160000000003</v>
      </c>
      <c r="U55" s="85"/>
      <c r="V55" s="85"/>
      <c r="W55" s="85"/>
      <c r="X55" s="85"/>
      <c r="Y55" s="85"/>
      <c r="Z55" s="85">
        <v>30390.160000000003</v>
      </c>
      <c r="AA55" s="86">
        <v>46034</v>
      </c>
      <c r="AB55" s="87" t="s">
        <v>121</v>
      </c>
      <c r="AC55" s="88">
        <v>3337</v>
      </c>
      <c r="AD55" s="85"/>
      <c r="AE55" s="25">
        <f t="shared" si="0"/>
        <v>30390.160000000003</v>
      </c>
      <c r="AF55" s="69">
        <f t="shared" si="4"/>
        <v>5471153.3499999978</v>
      </c>
      <c r="AG55" s="1">
        <v>50211990</v>
      </c>
      <c r="AH55" s="6"/>
      <c r="AI55" s="4"/>
      <c r="AJ55" s="77"/>
      <c r="AK55" s="78"/>
      <c r="AL55" s="77"/>
      <c r="AM55" s="78"/>
      <c r="AN55" s="14"/>
      <c r="AO55" s="14"/>
      <c r="AP55" s="4"/>
      <c r="AQ55" s="34" t="s">
        <v>102</v>
      </c>
      <c r="AR55" s="34"/>
      <c r="AS55" s="34"/>
      <c r="AT55" s="34"/>
      <c r="AU55" s="34"/>
      <c r="AV55" s="85">
        <v>30390.160000000003</v>
      </c>
      <c r="AW55" s="34"/>
      <c r="AX55" s="4"/>
    </row>
    <row r="56" spans="1:50" x14ac:dyDescent="0.3">
      <c r="A56" s="79" t="s">
        <v>121</v>
      </c>
      <c r="B56" s="80" t="s">
        <v>176</v>
      </c>
      <c r="C56" s="80" t="s">
        <v>177</v>
      </c>
      <c r="D56" s="25" t="s">
        <v>124</v>
      </c>
      <c r="E56" s="81" t="s">
        <v>144</v>
      </c>
      <c r="F56" s="80" t="s">
        <v>178</v>
      </c>
      <c r="G56" s="82" t="s">
        <v>79</v>
      </c>
      <c r="H56" s="85"/>
      <c r="I56" s="85"/>
      <c r="J56" s="85"/>
      <c r="K56" s="85"/>
      <c r="L56" s="85"/>
      <c r="M56" s="85">
        <f t="shared" si="12"/>
        <v>0</v>
      </c>
      <c r="N56" s="25">
        <f t="shared" si="2"/>
        <v>0</v>
      </c>
      <c r="O56" s="85"/>
      <c r="P56" s="85"/>
      <c r="Q56" s="85"/>
      <c r="R56" s="85">
        <f t="shared" si="3"/>
        <v>0</v>
      </c>
      <c r="S56" s="85"/>
      <c r="T56" s="85">
        <v>15044.47</v>
      </c>
      <c r="U56" s="85"/>
      <c r="V56" s="85"/>
      <c r="W56" s="85"/>
      <c r="X56" s="85"/>
      <c r="Y56" s="85"/>
      <c r="Z56" s="85">
        <v>15044.47</v>
      </c>
      <c r="AA56" s="86">
        <v>46034</v>
      </c>
      <c r="AB56" s="87" t="s">
        <v>121</v>
      </c>
      <c r="AC56" s="88">
        <v>3337</v>
      </c>
      <c r="AD56" s="85"/>
      <c r="AE56" s="25">
        <f t="shared" si="0"/>
        <v>15044.47</v>
      </c>
      <c r="AF56" s="69">
        <f t="shared" si="4"/>
        <v>5456108.879999998</v>
      </c>
      <c r="AG56" s="1">
        <v>50211990</v>
      </c>
      <c r="AH56" s="6"/>
      <c r="AI56" s="4"/>
      <c r="AJ56" s="77"/>
      <c r="AK56" s="78"/>
      <c r="AL56" s="77"/>
      <c r="AM56" s="78"/>
      <c r="AN56" s="14"/>
      <c r="AO56" s="14"/>
      <c r="AP56" s="4"/>
      <c r="AQ56" s="34" t="s">
        <v>102</v>
      </c>
      <c r="AR56" s="34"/>
      <c r="AS56" s="34"/>
      <c r="AT56" s="34"/>
      <c r="AU56" s="34"/>
      <c r="AV56" s="85">
        <v>15044.47</v>
      </c>
      <c r="AW56" s="34"/>
      <c r="AX56" s="4"/>
    </row>
    <row r="57" spans="1:50" x14ac:dyDescent="0.3">
      <c r="A57" s="79" t="s">
        <v>121</v>
      </c>
      <c r="B57" s="80" t="s">
        <v>176</v>
      </c>
      <c r="C57" s="80" t="s">
        <v>177</v>
      </c>
      <c r="D57" s="25" t="s">
        <v>124</v>
      </c>
      <c r="E57" s="81" t="s">
        <v>182</v>
      </c>
      <c r="F57" s="80" t="s">
        <v>178</v>
      </c>
      <c r="G57" s="82" t="s">
        <v>79</v>
      </c>
      <c r="H57" s="85"/>
      <c r="I57" s="85"/>
      <c r="J57" s="85"/>
      <c r="K57" s="85"/>
      <c r="L57" s="80"/>
      <c r="M57" s="85">
        <f t="shared" si="12"/>
        <v>0</v>
      </c>
      <c r="N57" s="25">
        <f t="shared" si="2"/>
        <v>0</v>
      </c>
      <c r="O57" s="85"/>
      <c r="P57" s="85"/>
      <c r="Q57" s="85"/>
      <c r="R57" s="85">
        <f t="shared" si="3"/>
        <v>0</v>
      </c>
      <c r="S57" s="85"/>
      <c r="T57" s="85">
        <v>14988.06</v>
      </c>
      <c r="U57" s="85"/>
      <c r="V57" s="85"/>
      <c r="W57" s="85"/>
      <c r="X57" s="85"/>
      <c r="Y57" s="85"/>
      <c r="Z57" s="85">
        <v>14988.06</v>
      </c>
      <c r="AA57" s="86">
        <v>46034</v>
      </c>
      <c r="AB57" s="87" t="s">
        <v>121</v>
      </c>
      <c r="AC57" s="88">
        <v>3337</v>
      </c>
      <c r="AD57" s="85"/>
      <c r="AE57" s="25">
        <f t="shared" si="0"/>
        <v>14988.06</v>
      </c>
      <c r="AF57" s="69">
        <f t="shared" si="4"/>
        <v>5441120.8199999984</v>
      </c>
      <c r="AG57" s="1">
        <v>50211990</v>
      </c>
      <c r="AH57" s="6"/>
      <c r="AI57" s="4"/>
      <c r="AJ57" s="77"/>
      <c r="AK57" s="78"/>
      <c r="AL57" s="77"/>
      <c r="AM57" s="78"/>
      <c r="AN57" s="14"/>
      <c r="AO57" s="14"/>
      <c r="AP57" s="4"/>
      <c r="AQ57" s="34" t="s">
        <v>102</v>
      </c>
      <c r="AR57" s="34"/>
      <c r="AS57" s="34"/>
      <c r="AT57" s="34"/>
      <c r="AU57" s="34"/>
      <c r="AV57" s="85">
        <v>14988.06</v>
      </c>
      <c r="AW57" s="34"/>
      <c r="AX57" s="4"/>
    </row>
    <row r="58" spans="1:50" x14ac:dyDescent="0.3">
      <c r="A58" s="79" t="s">
        <v>121</v>
      </c>
      <c r="B58" s="80" t="s">
        <v>176</v>
      </c>
      <c r="C58" s="80" t="s">
        <v>177</v>
      </c>
      <c r="D58" s="25" t="s">
        <v>124</v>
      </c>
      <c r="E58" s="81" t="s">
        <v>183</v>
      </c>
      <c r="F58" s="80" t="s">
        <v>178</v>
      </c>
      <c r="G58" s="82" t="s">
        <v>79</v>
      </c>
      <c r="H58" s="85"/>
      <c r="I58" s="85"/>
      <c r="J58" s="85"/>
      <c r="K58" s="85"/>
      <c r="L58" s="80"/>
      <c r="M58" s="85">
        <f t="shared" si="12"/>
        <v>0</v>
      </c>
      <c r="N58" s="25">
        <f t="shared" si="2"/>
        <v>0</v>
      </c>
      <c r="O58" s="85"/>
      <c r="P58" s="85"/>
      <c r="Q58" s="85"/>
      <c r="R58" s="85">
        <f t="shared" si="3"/>
        <v>0</v>
      </c>
      <c r="S58" s="85"/>
      <c r="T58" s="85">
        <v>15304.98</v>
      </c>
      <c r="U58" s="85"/>
      <c r="V58" s="85"/>
      <c r="W58" s="85"/>
      <c r="X58" s="85"/>
      <c r="Y58" s="85"/>
      <c r="Z58" s="85">
        <v>15304.98</v>
      </c>
      <c r="AA58" s="86">
        <v>46034</v>
      </c>
      <c r="AB58" s="87" t="s">
        <v>121</v>
      </c>
      <c r="AC58" s="88">
        <v>3337</v>
      </c>
      <c r="AD58" s="85"/>
      <c r="AE58" s="25">
        <f t="shared" si="0"/>
        <v>15304.98</v>
      </c>
      <c r="AF58" s="69">
        <f t="shared" si="4"/>
        <v>5425815.839999998</v>
      </c>
      <c r="AG58" s="1">
        <v>50211990</v>
      </c>
      <c r="AH58" s="6"/>
      <c r="AI58" s="4"/>
      <c r="AJ58" s="77"/>
      <c r="AK58" s="78"/>
      <c r="AL58" s="77"/>
      <c r="AM58" s="78"/>
      <c r="AN58" s="14"/>
      <c r="AO58" s="14"/>
      <c r="AP58" s="4"/>
      <c r="AQ58" s="34" t="s">
        <v>102</v>
      </c>
      <c r="AR58" s="34"/>
      <c r="AS58" s="34"/>
      <c r="AT58" s="34"/>
      <c r="AU58" s="34"/>
      <c r="AV58" s="85">
        <v>15304.98</v>
      </c>
      <c r="AW58" s="34"/>
      <c r="AX58" s="4"/>
    </row>
    <row r="59" spans="1:50" x14ac:dyDescent="0.3">
      <c r="A59" s="79" t="s">
        <v>121</v>
      </c>
      <c r="B59" s="80" t="s">
        <v>176</v>
      </c>
      <c r="C59" s="80" t="s">
        <v>177</v>
      </c>
      <c r="D59" s="25" t="s">
        <v>124</v>
      </c>
      <c r="E59" s="81" t="s">
        <v>184</v>
      </c>
      <c r="F59" s="80" t="s">
        <v>178</v>
      </c>
      <c r="G59" s="82" t="s">
        <v>79</v>
      </c>
      <c r="H59" s="85"/>
      <c r="I59" s="85"/>
      <c r="J59" s="85"/>
      <c r="K59" s="85"/>
      <c r="L59" s="80"/>
      <c r="M59" s="85">
        <f t="shared" si="12"/>
        <v>0</v>
      </c>
      <c r="N59" s="25">
        <f t="shared" si="2"/>
        <v>0</v>
      </c>
      <c r="O59" s="85"/>
      <c r="P59" s="85"/>
      <c r="Q59" s="85"/>
      <c r="R59" s="85">
        <f t="shared" si="3"/>
        <v>0</v>
      </c>
      <c r="S59" s="85"/>
      <c r="T59" s="85">
        <v>15351.5</v>
      </c>
      <c r="U59" s="85"/>
      <c r="V59" s="85">
        <v>149054.54999999999</v>
      </c>
      <c r="W59" s="85"/>
      <c r="X59" s="85"/>
      <c r="Y59" s="85"/>
      <c r="Z59" s="85">
        <v>15351.5</v>
      </c>
      <c r="AA59" s="86">
        <v>46034</v>
      </c>
      <c r="AB59" s="87" t="s">
        <v>121</v>
      </c>
      <c r="AC59" s="88">
        <v>3337</v>
      </c>
      <c r="AD59" s="85"/>
      <c r="AE59" s="25">
        <f t="shared" si="0"/>
        <v>15351.5</v>
      </c>
      <c r="AF59" s="69">
        <f t="shared" si="4"/>
        <v>5410464.339999998</v>
      </c>
      <c r="AG59" s="1">
        <v>50211990</v>
      </c>
      <c r="AH59" s="6"/>
      <c r="AI59" s="4"/>
      <c r="AJ59" s="77">
        <v>45669</v>
      </c>
      <c r="AK59" s="78">
        <v>0.57291666666666663</v>
      </c>
      <c r="AL59" s="77">
        <v>46034</v>
      </c>
      <c r="AM59" s="78">
        <v>0.59583333333333333</v>
      </c>
      <c r="AN59" s="14" t="str">
        <f>+TEXT(AM59-AK59,"h:mm")</f>
        <v>0:33</v>
      </c>
      <c r="AO59" s="14">
        <f>+AN59/3</f>
        <v>7.6388888888888886E-3</v>
      </c>
      <c r="AP59" s="4"/>
      <c r="AQ59" s="34" t="s">
        <v>102</v>
      </c>
      <c r="AR59" s="34"/>
      <c r="AS59" s="34"/>
      <c r="AT59" s="34"/>
      <c r="AU59" s="34"/>
      <c r="AV59" s="85">
        <v>15351.5</v>
      </c>
      <c r="AW59" s="34"/>
      <c r="AX59" s="4"/>
    </row>
    <row r="60" spans="1:50" x14ac:dyDescent="0.3">
      <c r="A60" s="63"/>
      <c r="B60" s="65"/>
      <c r="C60" s="65" t="s">
        <v>185</v>
      </c>
      <c r="D60" s="69"/>
      <c r="E60" s="63"/>
      <c r="F60" s="65" t="s">
        <v>186</v>
      </c>
      <c r="G60" s="68" t="s">
        <v>79</v>
      </c>
      <c r="H60" s="73"/>
      <c r="I60" s="73"/>
      <c r="J60" s="73"/>
      <c r="K60" s="73"/>
      <c r="L60" s="65"/>
      <c r="M60" s="73"/>
      <c r="N60" s="69"/>
      <c r="O60" s="73"/>
      <c r="P60" s="73"/>
      <c r="Q60" s="73"/>
      <c r="R60" s="17"/>
      <c r="S60" s="73"/>
      <c r="T60" s="73"/>
      <c r="U60" s="73"/>
      <c r="V60" s="73"/>
      <c r="W60" s="73"/>
      <c r="X60" s="73"/>
      <c r="Y60" s="73"/>
      <c r="Z60" s="73"/>
      <c r="AA60" s="70">
        <v>46035</v>
      </c>
      <c r="AB60" s="71"/>
      <c r="AC60" s="72"/>
      <c r="AD60" s="73">
        <v>21600</v>
      </c>
      <c r="AE60" s="69"/>
      <c r="AF60" s="69">
        <f t="shared" si="4"/>
        <v>5432064.339999998</v>
      </c>
      <c r="AG60" s="1"/>
      <c r="AH60" s="6"/>
      <c r="AI60" s="4"/>
      <c r="AJ60" s="77"/>
      <c r="AK60" s="78"/>
      <c r="AL60" s="77"/>
      <c r="AM60" s="78"/>
      <c r="AN60" s="14"/>
      <c r="AO60" s="14"/>
      <c r="AP60" s="4"/>
      <c r="AQ60" s="34"/>
      <c r="AR60" s="34"/>
      <c r="AS60" s="34"/>
      <c r="AT60" s="34"/>
      <c r="AU60" s="34"/>
      <c r="AV60" s="34"/>
      <c r="AW60" s="34"/>
      <c r="AX60" s="4"/>
    </row>
    <row r="61" spans="1:50" x14ac:dyDescent="0.3">
      <c r="A61" s="75" t="s">
        <v>80</v>
      </c>
      <c r="B61" s="65" t="s">
        <v>187</v>
      </c>
      <c r="C61" s="65" t="s">
        <v>123</v>
      </c>
      <c r="D61" s="69" t="s">
        <v>168</v>
      </c>
      <c r="E61" s="63" t="s">
        <v>84</v>
      </c>
      <c r="F61" s="65" t="s">
        <v>188</v>
      </c>
      <c r="G61" s="68" t="s">
        <v>79</v>
      </c>
      <c r="H61" s="73">
        <v>33045.21</v>
      </c>
      <c r="I61" s="73"/>
      <c r="J61" s="73"/>
      <c r="K61" s="73"/>
      <c r="L61" s="73"/>
      <c r="M61" s="73">
        <f t="shared" ref="M61:M82" si="13">(T61-R61)-Z61</f>
        <v>0</v>
      </c>
      <c r="N61" s="73">
        <f t="shared" ref="N61:N106" si="14">SUM(H61:L61)</f>
        <v>33045.21</v>
      </c>
      <c r="O61" s="73"/>
      <c r="P61" s="73"/>
      <c r="Q61" s="73"/>
      <c r="R61" s="73">
        <f t="shared" ref="R61:R106" si="15">+N61+SUM(O61:Q61)</f>
        <v>33045.21</v>
      </c>
      <c r="S61" s="73"/>
      <c r="T61" s="73">
        <v>153155.85</v>
      </c>
      <c r="U61" s="73"/>
      <c r="V61" s="73"/>
      <c r="W61" s="73"/>
      <c r="X61" s="73"/>
      <c r="Y61" s="73">
        <v>153155.85</v>
      </c>
      <c r="Z61" s="73">
        <v>120110.64</v>
      </c>
      <c r="AA61" s="70">
        <v>46035</v>
      </c>
      <c r="AB61" s="71" t="s">
        <v>80</v>
      </c>
      <c r="AC61" s="72" t="s">
        <v>189</v>
      </c>
      <c r="AD61" s="73"/>
      <c r="AE61" s="69">
        <f t="shared" ref="AE61:AE106" si="16">T61-N61</f>
        <v>120110.64000000001</v>
      </c>
      <c r="AF61" s="69">
        <f t="shared" si="4"/>
        <v>5311953.6999999983</v>
      </c>
      <c r="AG61" s="1">
        <v>50102120</v>
      </c>
      <c r="AH61" s="6"/>
      <c r="AI61" s="4"/>
      <c r="AJ61" s="77">
        <v>46035</v>
      </c>
      <c r="AK61" s="78">
        <v>0.41319444444444442</v>
      </c>
      <c r="AL61" s="77">
        <v>46035</v>
      </c>
      <c r="AM61" s="78">
        <v>0.625</v>
      </c>
      <c r="AN61" s="14" t="str">
        <f t="shared" ref="AN61:AN69" si="17">+TEXT(AM61-AK61-$AH$2,"h:mm")</f>
        <v>4:05</v>
      </c>
      <c r="AO61" s="14">
        <f t="shared" ref="AO61:AO69" si="18">+AN61/10</f>
        <v>1.7013888888888891E-2</v>
      </c>
      <c r="AP61" s="4"/>
      <c r="AQ61" s="34" t="s">
        <v>102</v>
      </c>
      <c r="AR61" s="73">
        <v>120110.64</v>
      </c>
      <c r="AS61" s="34"/>
      <c r="AT61" s="34"/>
      <c r="AU61" s="34"/>
      <c r="AV61" s="34"/>
      <c r="AW61" s="34"/>
      <c r="AX61" s="4"/>
    </row>
    <row r="62" spans="1:50" x14ac:dyDescent="0.3">
      <c r="A62" s="75" t="s">
        <v>80</v>
      </c>
      <c r="B62" s="65" t="s">
        <v>190</v>
      </c>
      <c r="C62" s="65" t="s">
        <v>191</v>
      </c>
      <c r="D62" s="69" t="s">
        <v>83</v>
      </c>
      <c r="E62" s="63" t="s">
        <v>84</v>
      </c>
      <c r="F62" s="65" t="s">
        <v>192</v>
      </c>
      <c r="G62" s="68" t="s">
        <v>79</v>
      </c>
      <c r="H62" s="73"/>
      <c r="I62" s="73">
        <v>211.73</v>
      </c>
      <c r="J62" s="73"/>
      <c r="K62" s="73"/>
      <c r="L62" s="73"/>
      <c r="M62" s="73">
        <f t="shared" si="13"/>
        <v>0</v>
      </c>
      <c r="N62" s="73">
        <f t="shared" si="14"/>
        <v>211.73</v>
      </c>
      <c r="O62" s="73"/>
      <c r="P62" s="73"/>
      <c r="Q62" s="73"/>
      <c r="R62" s="73">
        <f t="shared" si="15"/>
        <v>211.73</v>
      </c>
      <c r="S62" s="73"/>
      <c r="T62" s="73">
        <v>10586.45</v>
      </c>
      <c r="U62" s="73"/>
      <c r="V62" s="73"/>
      <c r="W62" s="73"/>
      <c r="X62" s="73"/>
      <c r="Y62" s="73">
        <v>10586.45</v>
      </c>
      <c r="Z62" s="73">
        <v>10374.719999999999</v>
      </c>
      <c r="AA62" s="70">
        <v>46035</v>
      </c>
      <c r="AB62" s="71" t="s">
        <v>80</v>
      </c>
      <c r="AC62" s="72" t="s">
        <v>193</v>
      </c>
      <c r="AD62" s="73"/>
      <c r="AE62" s="69">
        <f t="shared" si="16"/>
        <v>10374.720000000001</v>
      </c>
      <c r="AF62" s="69">
        <f t="shared" si="4"/>
        <v>5301578.9799999986</v>
      </c>
      <c r="AG62" s="1">
        <v>50204010</v>
      </c>
      <c r="AH62" s="6"/>
      <c r="AI62" s="4"/>
      <c r="AJ62" s="77">
        <v>46035</v>
      </c>
      <c r="AK62" s="78">
        <v>0.41319444444444442</v>
      </c>
      <c r="AL62" s="77">
        <v>46035</v>
      </c>
      <c r="AM62" s="78">
        <v>0.625</v>
      </c>
      <c r="AN62" s="14" t="str">
        <f t="shared" si="17"/>
        <v>4:05</v>
      </c>
      <c r="AO62" s="14">
        <f t="shared" si="18"/>
        <v>1.7013888888888891E-2</v>
      </c>
      <c r="AP62" s="4"/>
      <c r="AQ62" s="34" t="s">
        <v>87</v>
      </c>
      <c r="AR62" s="34"/>
      <c r="AS62" s="73">
        <v>10374.719999999999</v>
      </c>
      <c r="AT62" s="34"/>
      <c r="AU62" s="34"/>
      <c r="AV62" s="34"/>
      <c r="AW62" s="34"/>
      <c r="AX62" s="4"/>
    </row>
    <row r="63" spans="1:50" x14ac:dyDescent="0.3">
      <c r="A63" s="75" t="s">
        <v>80</v>
      </c>
      <c r="B63" s="65" t="s">
        <v>194</v>
      </c>
      <c r="C63" s="65" t="s">
        <v>191</v>
      </c>
      <c r="D63" s="69" t="s">
        <v>195</v>
      </c>
      <c r="E63" s="63" t="s">
        <v>160</v>
      </c>
      <c r="F63" s="65" t="s">
        <v>196</v>
      </c>
      <c r="G63" s="68" t="s">
        <v>79</v>
      </c>
      <c r="H63" s="73"/>
      <c r="I63" s="73">
        <v>8.35</v>
      </c>
      <c r="J63" s="73"/>
      <c r="K63" s="73"/>
      <c r="L63" s="73"/>
      <c r="M63" s="73">
        <f t="shared" si="13"/>
        <v>0</v>
      </c>
      <c r="N63" s="73">
        <f t="shared" si="14"/>
        <v>8.35</v>
      </c>
      <c r="O63" s="73"/>
      <c r="P63" s="73"/>
      <c r="Q63" s="73"/>
      <c r="R63" s="73">
        <f t="shared" si="15"/>
        <v>8.35</v>
      </c>
      <c r="S63" s="73"/>
      <c r="T63" s="73">
        <v>417.3</v>
      </c>
      <c r="U63" s="73"/>
      <c r="V63" s="73"/>
      <c r="W63" s="73"/>
      <c r="X63" s="73"/>
      <c r="Y63" s="73">
        <v>417.3</v>
      </c>
      <c r="Z63" s="73">
        <v>408.95</v>
      </c>
      <c r="AA63" s="70">
        <v>46035</v>
      </c>
      <c r="AB63" s="71" t="s">
        <v>80</v>
      </c>
      <c r="AC63" s="72" t="s">
        <v>197</v>
      </c>
      <c r="AD63" s="73"/>
      <c r="AE63" s="69">
        <f t="shared" si="16"/>
        <v>408.95</v>
      </c>
      <c r="AF63" s="69">
        <f t="shared" si="4"/>
        <v>5301170.0299999984</v>
      </c>
      <c r="AG63" s="1">
        <v>50204010</v>
      </c>
      <c r="AH63" s="6"/>
      <c r="AI63" s="4"/>
      <c r="AJ63" s="77">
        <v>46035</v>
      </c>
      <c r="AK63" s="78">
        <v>0.41319444444444442</v>
      </c>
      <c r="AL63" s="77">
        <v>46035</v>
      </c>
      <c r="AM63" s="78">
        <v>0.625</v>
      </c>
      <c r="AN63" s="14" t="str">
        <f t="shared" si="17"/>
        <v>4:05</v>
      </c>
      <c r="AO63" s="14">
        <f t="shared" si="18"/>
        <v>1.7013888888888891E-2</v>
      </c>
      <c r="AP63" s="4"/>
      <c r="AQ63" s="34" t="s">
        <v>87</v>
      </c>
      <c r="AR63" s="34"/>
      <c r="AS63" s="73">
        <v>408.95</v>
      </c>
      <c r="AT63" s="34"/>
      <c r="AU63" s="34"/>
      <c r="AV63" s="34"/>
      <c r="AW63" s="34"/>
      <c r="AX63" s="4"/>
    </row>
    <row r="64" spans="1:50" x14ac:dyDescent="0.3">
      <c r="A64" s="75" t="s">
        <v>80</v>
      </c>
      <c r="B64" s="65" t="s">
        <v>198</v>
      </c>
      <c r="C64" s="65" t="s">
        <v>199</v>
      </c>
      <c r="D64" s="69" t="s">
        <v>83</v>
      </c>
      <c r="E64" s="63" t="s">
        <v>154</v>
      </c>
      <c r="F64" s="65" t="s">
        <v>200</v>
      </c>
      <c r="G64" s="68" t="s">
        <v>79</v>
      </c>
      <c r="H64" s="73"/>
      <c r="I64" s="73"/>
      <c r="J64" s="73">
        <v>187.72</v>
      </c>
      <c r="K64" s="73"/>
      <c r="L64" s="73"/>
      <c r="M64" s="73">
        <f t="shared" si="13"/>
        <v>0</v>
      </c>
      <c r="N64" s="73">
        <f t="shared" si="14"/>
        <v>187.72</v>
      </c>
      <c r="O64" s="73"/>
      <c r="P64" s="73"/>
      <c r="Q64" s="73"/>
      <c r="R64" s="73">
        <f t="shared" si="15"/>
        <v>187.72</v>
      </c>
      <c r="S64" s="73"/>
      <c r="T64" s="73">
        <v>4189.9799999999996</v>
      </c>
      <c r="U64" s="73"/>
      <c r="V64" s="73"/>
      <c r="W64" s="73"/>
      <c r="X64" s="73"/>
      <c r="Y64" s="73">
        <v>4189.9799999999996</v>
      </c>
      <c r="Z64" s="73">
        <v>4002.26</v>
      </c>
      <c r="AA64" s="70">
        <v>46035</v>
      </c>
      <c r="AB64" s="71" t="s">
        <v>80</v>
      </c>
      <c r="AC64" s="72" t="s">
        <v>201</v>
      </c>
      <c r="AD64" s="73"/>
      <c r="AE64" s="69">
        <f t="shared" si="16"/>
        <v>4002.2599999999998</v>
      </c>
      <c r="AF64" s="69">
        <f t="shared" si="4"/>
        <v>5297167.7699999986</v>
      </c>
      <c r="AG64" s="1">
        <v>50204020</v>
      </c>
      <c r="AH64" s="6"/>
      <c r="AI64" s="4"/>
      <c r="AJ64" s="77">
        <v>46035</v>
      </c>
      <c r="AK64" s="78">
        <v>0.41319444444444442</v>
      </c>
      <c r="AL64" s="77">
        <v>46035</v>
      </c>
      <c r="AM64" s="78">
        <v>0.625</v>
      </c>
      <c r="AN64" s="14" t="str">
        <f t="shared" si="17"/>
        <v>4:05</v>
      </c>
      <c r="AO64" s="14">
        <f t="shared" si="18"/>
        <v>1.7013888888888891E-2</v>
      </c>
      <c r="AP64" s="4"/>
      <c r="AQ64" s="34" t="s">
        <v>102</v>
      </c>
      <c r="AR64" s="34"/>
      <c r="AS64" s="73">
        <v>4002.26</v>
      </c>
      <c r="AT64" s="34"/>
      <c r="AU64" s="34"/>
      <c r="AV64" s="34"/>
      <c r="AW64" s="34"/>
      <c r="AX64" s="4"/>
    </row>
    <row r="65" spans="1:50" x14ac:dyDescent="0.3">
      <c r="A65" s="75" t="s">
        <v>80</v>
      </c>
      <c r="B65" s="65" t="s">
        <v>202</v>
      </c>
      <c r="C65" s="65" t="s">
        <v>203</v>
      </c>
      <c r="D65" s="69" t="s">
        <v>83</v>
      </c>
      <c r="E65" s="63" t="s">
        <v>154</v>
      </c>
      <c r="F65" s="65" t="s">
        <v>204</v>
      </c>
      <c r="G65" s="68" t="s">
        <v>79</v>
      </c>
      <c r="H65" s="73"/>
      <c r="I65" s="73"/>
      <c r="J65" s="73"/>
      <c r="K65" s="73"/>
      <c r="L65" s="73"/>
      <c r="M65" s="73">
        <f t="shared" si="13"/>
        <v>0</v>
      </c>
      <c r="N65" s="73">
        <f t="shared" si="14"/>
        <v>0</v>
      </c>
      <c r="O65" s="73"/>
      <c r="P65" s="73"/>
      <c r="Q65" s="73"/>
      <c r="R65" s="73">
        <f t="shared" si="15"/>
        <v>0</v>
      </c>
      <c r="S65" s="73"/>
      <c r="T65" s="73">
        <v>433</v>
      </c>
      <c r="U65" s="73"/>
      <c r="V65" s="73"/>
      <c r="W65" s="73"/>
      <c r="X65" s="73"/>
      <c r="Y65" s="73">
        <v>433</v>
      </c>
      <c r="Z65" s="73">
        <v>433</v>
      </c>
      <c r="AA65" s="70">
        <v>46035</v>
      </c>
      <c r="AB65" s="71" t="s">
        <v>80</v>
      </c>
      <c r="AC65" s="72" t="s">
        <v>205</v>
      </c>
      <c r="AD65" s="73"/>
      <c r="AE65" s="69">
        <f t="shared" si="16"/>
        <v>433</v>
      </c>
      <c r="AF65" s="69">
        <f t="shared" si="4"/>
        <v>5296734.7699999986</v>
      </c>
      <c r="AG65" s="1">
        <v>50204010</v>
      </c>
      <c r="AH65" s="6"/>
      <c r="AI65" s="4"/>
      <c r="AJ65" s="77">
        <v>46035</v>
      </c>
      <c r="AK65" s="78">
        <v>0.41319444444444442</v>
      </c>
      <c r="AL65" s="77">
        <v>46035</v>
      </c>
      <c r="AM65" s="78">
        <v>0.625</v>
      </c>
      <c r="AN65" s="14" t="str">
        <f t="shared" si="17"/>
        <v>4:05</v>
      </c>
      <c r="AO65" s="14">
        <f t="shared" si="18"/>
        <v>1.7013888888888891E-2</v>
      </c>
      <c r="AP65" s="4"/>
      <c r="AQ65" s="34" t="s">
        <v>102</v>
      </c>
      <c r="AR65" s="34"/>
      <c r="AS65" s="73">
        <v>433</v>
      </c>
      <c r="AT65" s="34"/>
      <c r="AU65" s="34"/>
      <c r="AV65" s="34"/>
      <c r="AW65" s="34"/>
      <c r="AX65" s="4"/>
    </row>
    <row r="66" spans="1:50" x14ac:dyDescent="0.3">
      <c r="A66" s="75" t="s">
        <v>80</v>
      </c>
      <c r="B66" s="65" t="s">
        <v>206</v>
      </c>
      <c r="C66" s="65" t="s">
        <v>203</v>
      </c>
      <c r="D66" s="69" t="s">
        <v>83</v>
      </c>
      <c r="E66" s="63" t="s">
        <v>154</v>
      </c>
      <c r="F66" s="65" t="s">
        <v>207</v>
      </c>
      <c r="G66" s="68" t="s">
        <v>79</v>
      </c>
      <c r="H66" s="73"/>
      <c r="I66" s="73"/>
      <c r="J66" s="73"/>
      <c r="K66" s="73"/>
      <c r="L66" s="73"/>
      <c r="M66" s="73">
        <f t="shared" si="13"/>
        <v>0</v>
      </c>
      <c r="N66" s="73">
        <f t="shared" si="14"/>
        <v>0</v>
      </c>
      <c r="O66" s="73"/>
      <c r="P66" s="73"/>
      <c r="Q66" s="73"/>
      <c r="R66" s="73">
        <f t="shared" si="15"/>
        <v>0</v>
      </c>
      <c r="S66" s="73"/>
      <c r="T66" s="73">
        <v>1000</v>
      </c>
      <c r="U66" s="73"/>
      <c r="V66" s="73"/>
      <c r="W66" s="73"/>
      <c r="X66" s="73"/>
      <c r="Y66" s="73">
        <v>1000</v>
      </c>
      <c r="Z66" s="73">
        <v>1000</v>
      </c>
      <c r="AA66" s="70">
        <v>46035</v>
      </c>
      <c r="AB66" s="71" t="s">
        <v>80</v>
      </c>
      <c r="AC66" s="72" t="s">
        <v>208</v>
      </c>
      <c r="AD66" s="73"/>
      <c r="AE66" s="69">
        <f t="shared" si="16"/>
        <v>1000</v>
      </c>
      <c r="AF66" s="69">
        <f t="shared" si="4"/>
        <v>5295734.7699999986</v>
      </c>
      <c r="AG66" s="1">
        <v>50205020</v>
      </c>
      <c r="AH66" s="6"/>
      <c r="AI66" s="4"/>
      <c r="AJ66" s="77">
        <v>46035</v>
      </c>
      <c r="AK66" s="78">
        <v>0.41319444444444442</v>
      </c>
      <c r="AL66" s="77">
        <v>46035</v>
      </c>
      <c r="AM66" s="78">
        <v>0.625</v>
      </c>
      <c r="AN66" s="14" t="str">
        <f t="shared" si="17"/>
        <v>4:05</v>
      </c>
      <c r="AO66" s="14">
        <f t="shared" si="18"/>
        <v>1.7013888888888891E-2</v>
      </c>
      <c r="AP66" s="4"/>
      <c r="AQ66" s="34" t="s">
        <v>102</v>
      </c>
      <c r="AR66" s="34"/>
      <c r="AS66" s="73">
        <v>1000</v>
      </c>
      <c r="AT66" s="34"/>
      <c r="AU66" s="34"/>
      <c r="AV66" s="34"/>
      <c r="AW66" s="34"/>
      <c r="AX66" s="4"/>
    </row>
    <row r="67" spans="1:50" x14ac:dyDescent="0.3">
      <c r="A67" s="75" t="s">
        <v>80</v>
      </c>
      <c r="B67" s="65" t="s">
        <v>209</v>
      </c>
      <c r="C67" s="65" t="s">
        <v>210</v>
      </c>
      <c r="D67" s="69" t="s">
        <v>83</v>
      </c>
      <c r="E67" s="63" t="s">
        <v>143</v>
      </c>
      <c r="F67" s="65" t="s">
        <v>207</v>
      </c>
      <c r="G67" s="68" t="s">
        <v>79</v>
      </c>
      <c r="H67" s="73"/>
      <c r="I67" s="73"/>
      <c r="J67" s="73"/>
      <c r="K67" s="73"/>
      <c r="L67" s="73"/>
      <c r="M67" s="73">
        <f t="shared" si="13"/>
        <v>0</v>
      </c>
      <c r="N67" s="73">
        <f t="shared" si="14"/>
        <v>0</v>
      </c>
      <c r="O67" s="73"/>
      <c r="P67" s="73"/>
      <c r="Q67" s="73"/>
      <c r="R67" s="73">
        <f t="shared" si="15"/>
        <v>0</v>
      </c>
      <c r="S67" s="73"/>
      <c r="T67" s="73">
        <v>600</v>
      </c>
      <c r="U67" s="73"/>
      <c r="V67" s="73"/>
      <c r="W67" s="73"/>
      <c r="X67" s="73"/>
      <c r="Y67" s="73">
        <v>600</v>
      </c>
      <c r="Z67" s="73">
        <v>600</v>
      </c>
      <c r="AA67" s="70">
        <v>46035</v>
      </c>
      <c r="AB67" s="71" t="s">
        <v>80</v>
      </c>
      <c r="AC67" s="72" t="s">
        <v>211</v>
      </c>
      <c r="AD67" s="73"/>
      <c r="AE67" s="69">
        <f t="shared" si="16"/>
        <v>600</v>
      </c>
      <c r="AF67" s="69">
        <f t="shared" si="4"/>
        <v>5295134.7699999986</v>
      </c>
      <c r="AG67" s="1">
        <v>50201010</v>
      </c>
      <c r="AH67" s="6"/>
      <c r="AI67" s="4"/>
      <c r="AJ67" s="77">
        <v>46035</v>
      </c>
      <c r="AK67" s="78">
        <v>0.41319444444444442</v>
      </c>
      <c r="AL67" s="77">
        <v>46035</v>
      </c>
      <c r="AM67" s="78">
        <v>0.625</v>
      </c>
      <c r="AN67" s="14" t="str">
        <f t="shared" si="17"/>
        <v>4:05</v>
      </c>
      <c r="AO67" s="14">
        <f t="shared" si="18"/>
        <v>1.7013888888888891E-2</v>
      </c>
      <c r="AP67" s="4"/>
      <c r="AQ67" s="34" t="s">
        <v>102</v>
      </c>
      <c r="AR67" s="34"/>
      <c r="AS67" s="73">
        <v>600</v>
      </c>
      <c r="AT67" s="34"/>
      <c r="AU67" s="34"/>
      <c r="AV67" s="34"/>
      <c r="AW67" s="34"/>
      <c r="AX67" s="4"/>
    </row>
    <row r="68" spans="1:50" x14ac:dyDescent="0.3">
      <c r="A68" s="75" t="s">
        <v>80</v>
      </c>
      <c r="B68" s="65" t="s">
        <v>212</v>
      </c>
      <c r="C68" s="65" t="s">
        <v>203</v>
      </c>
      <c r="D68" s="69" t="s">
        <v>83</v>
      </c>
      <c r="E68" s="63" t="s">
        <v>154</v>
      </c>
      <c r="F68" s="65" t="s">
        <v>213</v>
      </c>
      <c r="G68" s="68" t="s">
        <v>79</v>
      </c>
      <c r="H68" s="73"/>
      <c r="I68" s="73">
        <v>67.86</v>
      </c>
      <c r="J68" s="73">
        <v>169.64</v>
      </c>
      <c r="K68" s="73"/>
      <c r="L68" s="73"/>
      <c r="M68" s="73">
        <f t="shared" si="13"/>
        <v>0</v>
      </c>
      <c r="N68" s="73">
        <f t="shared" si="14"/>
        <v>237.5</v>
      </c>
      <c r="O68" s="73"/>
      <c r="P68" s="73"/>
      <c r="Q68" s="73"/>
      <c r="R68" s="73">
        <f t="shared" si="15"/>
        <v>237.5</v>
      </c>
      <c r="S68" s="73"/>
      <c r="T68" s="73">
        <v>3800</v>
      </c>
      <c r="U68" s="73"/>
      <c r="V68" s="73"/>
      <c r="W68" s="73"/>
      <c r="X68" s="73"/>
      <c r="Y68" s="73">
        <v>3800</v>
      </c>
      <c r="Z68" s="73">
        <v>3562.5</v>
      </c>
      <c r="AA68" s="70">
        <v>46035</v>
      </c>
      <c r="AB68" s="71" t="s">
        <v>80</v>
      </c>
      <c r="AC68" s="72" t="s">
        <v>214</v>
      </c>
      <c r="AD68" s="73"/>
      <c r="AE68" s="69">
        <f t="shared" si="16"/>
        <v>3562.5</v>
      </c>
      <c r="AF68" s="69">
        <f t="shared" si="4"/>
        <v>5291572.2699999986</v>
      </c>
      <c r="AG68" s="1">
        <v>50205030</v>
      </c>
      <c r="AH68" s="6"/>
      <c r="AI68" s="4"/>
      <c r="AJ68" s="77">
        <v>46035</v>
      </c>
      <c r="AK68" s="78">
        <v>0.41319444444444442</v>
      </c>
      <c r="AL68" s="77">
        <v>46035</v>
      </c>
      <c r="AM68" s="78">
        <v>0.625</v>
      </c>
      <c r="AN68" s="14" t="str">
        <f t="shared" si="17"/>
        <v>4:05</v>
      </c>
      <c r="AO68" s="14">
        <f t="shared" si="18"/>
        <v>1.7013888888888891E-2</v>
      </c>
      <c r="AP68" s="4"/>
      <c r="AQ68" s="34" t="s">
        <v>102</v>
      </c>
      <c r="AR68" s="34"/>
      <c r="AS68" s="73">
        <v>3562.5</v>
      </c>
      <c r="AT68" s="34"/>
      <c r="AU68" s="34"/>
      <c r="AV68" s="34"/>
      <c r="AW68" s="34"/>
      <c r="AX68" s="4"/>
    </row>
    <row r="69" spans="1:50" x14ac:dyDescent="0.3">
      <c r="A69" s="75" t="s">
        <v>80</v>
      </c>
      <c r="B69" s="65" t="s">
        <v>215</v>
      </c>
      <c r="C69" s="65" t="s">
        <v>216</v>
      </c>
      <c r="D69" s="69" t="s">
        <v>93</v>
      </c>
      <c r="E69" s="63" t="s">
        <v>217</v>
      </c>
      <c r="F69" s="65" t="s">
        <v>218</v>
      </c>
      <c r="G69" s="68" t="s">
        <v>79</v>
      </c>
      <c r="H69" s="73"/>
      <c r="I69" s="73">
        <v>101.05</v>
      </c>
      <c r="J69" s="73">
        <v>252.63</v>
      </c>
      <c r="K69" s="73"/>
      <c r="L69" s="73"/>
      <c r="M69" s="73">
        <f t="shared" si="13"/>
        <v>0</v>
      </c>
      <c r="N69" s="73">
        <f t="shared" si="14"/>
        <v>353.68</v>
      </c>
      <c r="O69" s="73"/>
      <c r="P69" s="73"/>
      <c r="Q69" s="73"/>
      <c r="R69" s="73">
        <f t="shared" si="15"/>
        <v>353.68</v>
      </c>
      <c r="S69" s="73"/>
      <c r="T69" s="73">
        <v>5658.96</v>
      </c>
      <c r="U69" s="73"/>
      <c r="V69" s="73"/>
      <c r="W69" s="73"/>
      <c r="X69" s="73"/>
      <c r="Y69" s="73">
        <v>5658.96</v>
      </c>
      <c r="Z69" s="73">
        <v>5305.28</v>
      </c>
      <c r="AA69" s="70">
        <v>46035</v>
      </c>
      <c r="AB69" s="71" t="s">
        <v>80</v>
      </c>
      <c r="AC69" s="72" t="s">
        <v>219</v>
      </c>
      <c r="AD69" s="73"/>
      <c r="AE69" s="69">
        <f t="shared" si="16"/>
        <v>5305.28</v>
      </c>
      <c r="AF69" s="69">
        <f t="shared" si="4"/>
        <v>5286266.9899999984</v>
      </c>
      <c r="AG69" s="1">
        <v>50203090</v>
      </c>
      <c r="AH69" s="6"/>
      <c r="AI69" s="4"/>
      <c r="AJ69" s="77">
        <v>46035</v>
      </c>
      <c r="AK69" s="78">
        <v>0.41319444444444442</v>
      </c>
      <c r="AL69" s="77">
        <v>46035</v>
      </c>
      <c r="AM69" s="78">
        <v>0.625</v>
      </c>
      <c r="AN69" s="14" t="str">
        <f t="shared" si="17"/>
        <v>4:05</v>
      </c>
      <c r="AO69" s="14">
        <f t="shared" si="18"/>
        <v>1.7013888888888891E-2</v>
      </c>
      <c r="AP69" s="4"/>
      <c r="AQ69" s="34" t="s">
        <v>102</v>
      </c>
      <c r="AR69" s="34"/>
      <c r="AS69" s="73">
        <v>5305.28</v>
      </c>
      <c r="AT69" s="34"/>
      <c r="AU69" s="34"/>
      <c r="AV69" s="34"/>
      <c r="AW69" s="34"/>
      <c r="AX69" s="4"/>
    </row>
    <row r="70" spans="1:50" x14ac:dyDescent="0.3">
      <c r="A70" s="79" t="s">
        <v>121</v>
      </c>
      <c r="B70" s="80" t="s">
        <v>220</v>
      </c>
      <c r="C70" s="80" t="s">
        <v>221</v>
      </c>
      <c r="D70" s="25" t="s">
        <v>124</v>
      </c>
      <c r="E70" s="81" t="s">
        <v>99</v>
      </c>
      <c r="F70" s="80" t="s">
        <v>222</v>
      </c>
      <c r="G70" s="82" t="s">
        <v>79</v>
      </c>
      <c r="H70" s="85"/>
      <c r="I70" s="85"/>
      <c r="J70" s="85"/>
      <c r="K70" s="85"/>
      <c r="L70" s="85"/>
      <c r="M70" s="85">
        <f t="shared" si="13"/>
        <v>0</v>
      </c>
      <c r="N70" s="85">
        <f t="shared" si="14"/>
        <v>0</v>
      </c>
      <c r="O70" s="85"/>
      <c r="P70" s="85"/>
      <c r="Q70" s="85"/>
      <c r="R70" s="85">
        <f t="shared" si="15"/>
        <v>0</v>
      </c>
      <c r="S70" s="85"/>
      <c r="T70" s="85">
        <v>11223.21</v>
      </c>
      <c r="U70" s="85"/>
      <c r="V70" s="85"/>
      <c r="W70" s="85"/>
      <c r="X70" s="85"/>
      <c r="Y70" s="85"/>
      <c r="Z70" s="85">
        <v>11223.21</v>
      </c>
      <c r="AA70" s="86">
        <v>46035</v>
      </c>
      <c r="AB70" s="87" t="s">
        <v>121</v>
      </c>
      <c r="AC70" s="88">
        <v>3341</v>
      </c>
      <c r="AD70" s="85"/>
      <c r="AE70" s="25">
        <f t="shared" si="16"/>
        <v>11223.21</v>
      </c>
      <c r="AF70" s="69">
        <f t="shared" si="4"/>
        <v>5275043.7799999984</v>
      </c>
      <c r="AG70" s="1">
        <v>50211990</v>
      </c>
      <c r="AH70" s="6"/>
      <c r="AI70" s="4"/>
      <c r="AJ70" s="77"/>
      <c r="AK70" s="78"/>
      <c r="AL70" s="77"/>
      <c r="AM70" s="78"/>
      <c r="AN70" s="14"/>
      <c r="AO70" s="14"/>
      <c r="AP70" s="4"/>
      <c r="AQ70" s="34" t="s">
        <v>102</v>
      </c>
      <c r="AR70" s="34"/>
      <c r="AS70" s="34"/>
      <c r="AT70" s="34"/>
      <c r="AU70" s="34"/>
      <c r="AV70" s="85">
        <v>11223.21</v>
      </c>
      <c r="AW70" s="34"/>
      <c r="AX70" s="4"/>
    </row>
    <row r="71" spans="1:50" x14ac:dyDescent="0.3">
      <c r="A71" s="79" t="s">
        <v>121</v>
      </c>
      <c r="B71" s="80" t="s">
        <v>220</v>
      </c>
      <c r="C71" s="80" t="s">
        <v>221</v>
      </c>
      <c r="D71" s="25" t="s">
        <v>124</v>
      </c>
      <c r="E71" s="81" t="s">
        <v>223</v>
      </c>
      <c r="F71" s="80" t="s">
        <v>222</v>
      </c>
      <c r="G71" s="82" t="s">
        <v>79</v>
      </c>
      <c r="H71" s="85"/>
      <c r="I71" s="84"/>
      <c r="J71" s="85"/>
      <c r="K71" s="85"/>
      <c r="L71" s="85"/>
      <c r="M71" s="85">
        <f t="shared" si="13"/>
        <v>0</v>
      </c>
      <c r="N71" s="85">
        <f t="shared" si="14"/>
        <v>0</v>
      </c>
      <c r="O71" s="85"/>
      <c r="P71" s="85"/>
      <c r="Q71" s="85"/>
      <c r="R71" s="85">
        <f t="shared" si="15"/>
        <v>0</v>
      </c>
      <c r="S71" s="85"/>
      <c r="T71" s="85">
        <v>14266.6</v>
      </c>
      <c r="U71" s="85"/>
      <c r="V71" s="85"/>
      <c r="W71" s="85"/>
      <c r="X71" s="85"/>
      <c r="Y71" s="85"/>
      <c r="Z71" s="85">
        <v>14266.6</v>
      </c>
      <c r="AA71" s="86">
        <v>46035</v>
      </c>
      <c r="AB71" s="87" t="s">
        <v>121</v>
      </c>
      <c r="AC71" s="88">
        <v>3341</v>
      </c>
      <c r="AD71" s="85"/>
      <c r="AE71" s="25">
        <f t="shared" si="16"/>
        <v>14266.6</v>
      </c>
      <c r="AF71" s="69">
        <f t="shared" si="4"/>
        <v>5260777.1799999988</v>
      </c>
      <c r="AG71" s="1">
        <v>50211990</v>
      </c>
      <c r="AH71" s="6"/>
      <c r="AI71" s="4"/>
      <c r="AJ71" s="77"/>
      <c r="AK71" s="78"/>
      <c r="AL71" s="77"/>
      <c r="AM71" s="78"/>
      <c r="AN71" s="14"/>
      <c r="AO71" s="14"/>
      <c r="AP71" s="4"/>
      <c r="AQ71" s="34" t="s">
        <v>102</v>
      </c>
      <c r="AR71" s="34"/>
      <c r="AS71" s="34"/>
      <c r="AT71" s="34"/>
      <c r="AU71" s="34"/>
      <c r="AV71" s="85">
        <v>14266.6</v>
      </c>
      <c r="AW71" s="34"/>
      <c r="AX71" s="4"/>
    </row>
    <row r="72" spans="1:50" x14ac:dyDescent="0.3">
      <c r="A72" s="79" t="s">
        <v>121</v>
      </c>
      <c r="B72" s="80" t="s">
        <v>220</v>
      </c>
      <c r="C72" s="80" t="s">
        <v>221</v>
      </c>
      <c r="D72" s="25" t="s">
        <v>124</v>
      </c>
      <c r="E72" s="81" t="s">
        <v>224</v>
      </c>
      <c r="F72" s="80" t="s">
        <v>222</v>
      </c>
      <c r="G72" s="82" t="s">
        <v>79</v>
      </c>
      <c r="H72" s="85"/>
      <c r="I72" s="84"/>
      <c r="J72" s="85"/>
      <c r="K72" s="85"/>
      <c r="L72" s="85"/>
      <c r="M72" s="85">
        <f t="shared" si="13"/>
        <v>0</v>
      </c>
      <c r="N72" s="85">
        <f t="shared" si="14"/>
        <v>0</v>
      </c>
      <c r="O72" s="85"/>
      <c r="P72" s="85"/>
      <c r="Q72" s="85"/>
      <c r="R72" s="85">
        <f t="shared" si="15"/>
        <v>0</v>
      </c>
      <c r="S72" s="85"/>
      <c r="T72" s="85">
        <v>14850.710000000001</v>
      </c>
      <c r="U72" s="85"/>
      <c r="V72" s="85"/>
      <c r="W72" s="85"/>
      <c r="X72" s="85"/>
      <c r="Y72" s="85"/>
      <c r="Z72" s="85">
        <v>14850.710000000001</v>
      </c>
      <c r="AA72" s="86">
        <v>46035</v>
      </c>
      <c r="AB72" s="87" t="s">
        <v>121</v>
      </c>
      <c r="AC72" s="88">
        <v>3341</v>
      </c>
      <c r="AD72" s="85"/>
      <c r="AE72" s="25">
        <f t="shared" si="16"/>
        <v>14850.710000000001</v>
      </c>
      <c r="AF72" s="69">
        <f t="shared" si="4"/>
        <v>5245926.4699999988</v>
      </c>
      <c r="AG72" s="1">
        <v>50211990</v>
      </c>
      <c r="AH72" s="6"/>
      <c r="AI72" s="4"/>
      <c r="AJ72" s="77"/>
      <c r="AK72" s="78"/>
      <c r="AL72" s="77"/>
      <c r="AM72" s="78"/>
      <c r="AN72" s="14"/>
      <c r="AO72" s="14"/>
      <c r="AP72" s="4"/>
      <c r="AQ72" s="34" t="s">
        <v>102</v>
      </c>
      <c r="AR72" s="34"/>
      <c r="AS72" s="34"/>
      <c r="AT72" s="34"/>
      <c r="AU72" s="34"/>
      <c r="AV72" s="85">
        <v>14850.710000000001</v>
      </c>
      <c r="AW72" s="34"/>
      <c r="AX72" s="4"/>
    </row>
    <row r="73" spans="1:50" x14ac:dyDescent="0.3">
      <c r="A73" s="79" t="s">
        <v>121</v>
      </c>
      <c r="B73" s="80" t="s">
        <v>220</v>
      </c>
      <c r="C73" s="80" t="s">
        <v>221</v>
      </c>
      <c r="D73" s="25" t="s">
        <v>124</v>
      </c>
      <c r="E73" s="81" t="s">
        <v>99</v>
      </c>
      <c r="F73" s="80" t="s">
        <v>222</v>
      </c>
      <c r="G73" s="82" t="s">
        <v>79</v>
      </c>
      <c r="H73" s="85"/>
      <c r="I73" s="84"/>
      <c r="J73" s="85"/>
      <c r="K73" s="85"/>
      <c r="L73" s="85"/>
      <c r="M73" s="85">
        <f t="shared" si="13"/>
        <v>0</v>
      </c>
      <c r="N73" s="85">
        <f t="shared" si="14"/>
        <v>0</v>
      </c>
      <c r="O73" s="85"/>
      <c r="P73" s="85"/>
      <c r="Q73" s="85"/>
      <c r="R73" s="85">
        <f t="shared" si="15"/>
        <v>0</v>
      </c>
      <c r="S73" s="85"/>
      <c r="T73" s="85">
        <v>16049.279999999999</v>
      </c>
      <c r="U73" s="85"/>
      <c r="V73" s="85">
        <v>56389.8</v>
      </c>
      <c r="W73" s="85"/>
      <c r="X73" s="85"/>
      <c r="Y73" s="85"/>
      <c r="Z73" s="85">
        <v>16049.279999999999</v>
      </c>
      <c r="AA73" s="86">
        <v>46035</v>
      </c>
      <c r="AB73" s="87" t="s">
        <v>121</v>
      </c>
      <c r="AC73" s="88">
        <v>3341</v>
      </c>
      <c r="AD73" s="85"/>
      <c r="AE73" s="25">
        <f t="shared" si="16"/>
        <v>16049.279999999999</v>
      </c>
      <c r="AF73" s="69">
        <f t="shared" si="4"/>
        <v>5229877.1899999985</v>
      </c>
      <c r="AG73" s="1">
        <v>50211990</v>
      </c>
      <c r="AH73" s="6"/>
      <c r="AI73" s="4"/>
      <c r="AJ73" s="77">
        <v>46035</v>
      </c>
      <c r="AK73" s="78">
        <v>0.41319444444444442</v>
      </c>
      <c r="AL73" s="77">
        <v>46035</v>
      </c>
      <c r="AM73" s="78">
        <v>0.625</v>
      </c>
      <c r="AN73" s="14" t="str">
        <f>+TEXT(AM73-AK73-$AH$2,"h:mm")</f>
        <v>4:05</v>
      </c>
      <c r="AO73" s="14">
        <f>+AN73/10</f>
        <v>1.7013888888888891E-2</v>
      </c>
      <c r="AP73" s="4"/>
      <c r="AQ73" s="34" t="s">
        <v>102</v>
      </c>
      <c r="AR73" s="34"/>
      <c r="AS73" s="34"/>
      <c r="AT73" s="34"/>
      <c r="AU73" s="34"/>
      <c r="AV73" s="85">
        <v>16049.279999999999</v>
      </c>
      <c r="AW73" s="34"/>
      <c r="AX73" s="4"/>
    </row>
    <row r="74" spans="1:50" x14ac:dyDescent="0.3">
      <c r="A74" s="75" t="s">
        <v>80</v>
      </c>
      <c r="B74" s="65" t="s">
        <v>225</v>
      </c>
      <c r="C74" s="65" t="s">
        <v>226</v>
      </c>
      <c r="D74" s="69" t="s">
        <v>83</v>
      </c>
      <c r="E74" s="63" t="s">
        <v>84</v>
      </c>
      <c r="F74" s="65" t="s">
        <v>227</v>
      </c>
      <c r="G74" s="68" t="s">
        <v>79</v>
      </c>
      <c r="H74" s="73"/>
      <c r="I74" s="73"/>
      <c r="J74" s="73">
        <v>391.66</v>
      </c>
      <c r="K74" s="73"/>
      <c r="L74" s="73"/>
      <c r="M74" s="73">
        <f t="shared" si="13"/>
        <v>0</v>
      </c>
      <c r="N74" s="73">
        <f t="shared" si="14"/>
        <v>391.66</v>
      </c>
      <c r="O74" s="73"/>
      <c r="P74" s="73"/>
      <c r="Q74" s="73"/>
      <c r="R74" s="73">
        <f t="shared" si="15"/>
        <v>391.66</v>
      </c>
      <c r="S74" s="73"/>
      <c r="T74" s="73">
        <v>9782.58</v>
      </c>
      <c r="U74" s="73"/>
      <c r="V74" s="73"/>
      <c r="W74" s="73"/>
      <c r="X74" s="73"/>
      <c r="Y74" s="73">
        <v>9782.58</v>
      </c>
      <c r="Z74" s="73">
        <v>9390.92</v>
      </c>
      <c r="AA74" s="92">
        <v>46036</v>
      </c>
      <c r="AB74" s="71" t="s">
        <v>80</v>
      </c>
      <c r="AC74" s="72" t="s">
        <v>228</v>
      </c>
      <c r="AD74" s="73"/>
      <c r="AE74" s="69">
        <f t="shared" si="16"/>
        <v>9390.92</v>
      </c>
      <c r="AF74" s="69">
        <f t="shared" si="4"/>
        <v>5220486.2699999986</v>
      </c>
      <c r="AG74" s="1">
        <v>19902050</v>
      </c>
      <c r="AH74" s="6"/>
      <c r="AI74" s="4"/>
      <c r="AJ74" s="77">
        <v>46036</v>
      </c>
      <c r="AK74" s="78">
        <v>0.37847222222222227</v>
      </c>
      <c r="AL74" s="77">
        <v>46036</v>
      </c>
      <c r="AM74" s="78">
        <v>0.49305555555555558</v>
      </c>
      <c r="AN74" s="14" t="str">
        <f t="shared" ref="AN74:AN75" si="19">+TEXT(AM74-AK74,"h:mm")</f>
        <v>2:45</v>
      </c>
      <c r="AO74" s="14">
        <f t="shared" ref="AO74:AO75" si="20">+AN74/3</f>
        <v>3.8194444444444441E-2</v>
      </c>
      <c r="AP74" s="4"/>
      <c r="AQ74" s="34" t="s">
        <v>87</v>
      </c>
      <c r="AR74" s="34"/>
      <c r="AS74" s="73">
        <v>9390.92</v>
      </c>
      <c r="AT74" s="34"/>
      <c r="AU74" s="34"/>
      <c r="AV74" s="34"/>
      <c r="AW74" s="34"/>
      <c r="AX74" s="4"/>
    </row>
    <row r="75" spans="1:50" x14ac:dyDescent="0.3">
      <c r="A75" s="75" t="s">
        <v>80</v>
      </c>
      <c r="B75" s="65" t="s">
        <v>229</v>
      </c>
      <c r="C75" s="65" t="s">
        <v>230</v>
      </c>
      <c r="D75" s="69" t="s">
        <v>83</v>
      </c>
      <c r="E75" s="63" t="s">
        <v>84</v>
      </c>
      <c r="F75" s="65" t="s">
        <v>231</v>
      </c>
      <c r="G75" s="68" t="s">
        <v>79</v>
      </c>
      <c r="H75" s="73"/>
      <c r="I75" s="73">
        <v>295.92</v>
      </c>
      <c r="J75" s="73">
        <v>739.79</v>
      </c>
      <c r="K75" s="73"/>
      <c r="L75" s="73"/>
      <c r="M75" s="73">
        <f t="shared" si="13"/>
        <v>0</v>
      </c>
      <c r="N75" s="73">
        <f t="shared" si="14"/>
        <v>1035.71</v>
      </c>
      <c r="O75" s="73"/>
      <c r="P75" s="73"/>
      <c r="Q75" s="73"/>
      <c r="R75" s="73">
        <f t="shared" si="15"/>
        <v>1035.71</v>
      </c>
      <c r="S75" s="73"/>
      <c r="T75" s="73">
        <v>16571.259999999998</v>
      </c>
      <c r="U75" s="73"/>
      <c r="V75" s="73"/>
      <c r="W75" s="73"/>
      <c r="X75" s="73"/>
      <c r="Y75" s="73">
        <v>16571.259999999998</v>
      </c>
      <c r="Z75" s="73">
        <v>15535.55</v>
      </c>
      <c r="AA75" s="92">
        <v>46036</v>
      </c>
      <c r="AB75" s="71" t="s">
        <v>80</v>
      </c>
      <c r="AC75" s="72" t="s">
        <v>232</v>
      </c>
      <c r="AD75" s="73"/>
      <c r="AE75" s="69">
        <f t="shared" si="16"/>
        <v>15535.55</v>
      </c>
      <c r="AF75" s="69">
        <f t="shared" si="4"/>
        <v>5204950.7199999988</v>
      </c>
      <c r="AG75" s="1">
        <v>50203090</v>
      </c>
      <c r="AH75" s="6"/>
      <c r="AI75" s="4"/>
      <c r="AJ75" s="77">
        <v>46036</v>
      </c>
      <c r="AK75" s="78">
        <v>0.37847222222222227</v>
      </c>
      <c r="AL75" s="77">
        <v>46036</v>
      </c>
      <c r="AM75" s="78">
        <v>0.49305555555555558</v>
      </c>
      <c r="AN75" s="14" t="str">
        <f t="shared" si="19"/>
        <v>2:45</v>
      </c>
      <c r="AO75" s="14">
        <f t="shared" si="20"/>
        <v>3.8194444444444441E-2</v>
      </c>
      <c r="AP75" s="4"/>
      <c r="AQ75" s="34" t="s">
        <v>102</v>
      </c>
      <c r="AR75" s="34"/>
      <c r="AS75" s="73">
        <v>15535.55</v>
      </c>
      <c r="AT75" s="34"/>
      <c r="AU75" s="34"/>
      <c r="AV75" s="34"/>
      <c r="AW75" s="34"/>
      <c r="AX75" s="4"/>
    </row>
    <row r="76" spans="1:50" x14ac:dyDescent="0.3">
      <c r="A76" s="79" t="s">
        <v>121</v>
      </c>
      <c r="B76" s="80" t="s">
        <v>233</v>
      </c>
      <c r="C76" s="80" t="s">
        <v>234</v>
      </c>
      <c r="D76" s="25" t="s">
        <v>124</v>
      </c>
      <c r="E76" s="81" t="s">
        <v>235</v>
      </c>
      <c r="F76" s="80" t="s">
        <v>236</v>
      </c>
      <c r="G76" s="82" t="s">
        <v>79</v>
      </c>
      <c r="H76" s="85"/>
      <c r="I76" s="85"/>
      <c r="J76" s="85"/>
      <c r="K76" s="85"/>
      <c r="L76" s="85"/>
      <c r="M76" s="85">
        <f t="shared" si="13"/>
        <v>0</v>
      </c>
      <c r="N76" s="85">
        <f t="shared" si="14"/>
        <v>0</v>
      </c>
      <c r="O76" s="85"/>
      <c r="P76" s="85"/>
      <c r="Q76" s="85"/>
      <c r="R76" s="85">
        <f t="shared" si="15"/>
        <v>0</v>
      </c>
      <c r="S76" s="85"/>
      <c r="T76" s="85">
        <v>10063.66</v>
      </c>
      <c r="U76" s="85"/>
      <c r="V76" s="85"/>
      <c r="W76" s="85"/>
      <c r="X76" s="85"/>
      <c r="Y76" s="85"/>
      <c r="Z76" s="85">
        <v>10063.66</v>
      </c>
      <c r="AA76" s="86">
        <v>46036</v>
      </c>
      <c r="AB76" s="87" t="s">
        <v>121</v>
      </c>
      <c r="AC76" s="93">
        <v>3342</v>
      </c>
      <c r="AD76" s="85"/>
      <c r="AE76" s="25">
        <f t="shared" si="16"/>
        <v>10063.66</v>
      </c>
      <c r="AF76" s="69">
        <f t="shared" si="4"/>
        <v>5194887.0599999987</v>
      </c>
      <c r="AG76" s="1">
        <v>50211990</v>
      </c>
      <c r="AH76" s="6"/>
      <c r="AI76" s="4"/>
      <c r="AJ76" s="77"/>
      <c r="AK76" s="78"/>
      <c r="AL76" s="77"/>
      <c r="AM76" s="78"/>
      <c r="AN76" s="14"/>
      <c r="AO76" s="14"/>
      <c r="AP76" s="4"/>
      <c r="AQ76" s="34" t="s">
        <v>102</v>
      </c>
      <c r="AR76" s="34"/>
      <c r="AS76" s="34"/>
      <c r="AT76" s="34"/>
      <c r="AU76" s="34"/>
      <c r="AV76" s="85">
        <v>10063.66</v>
      </c>
      <c r="AW76" s="34"/>
      <c r="AX76" s="4"/>
    </row>
    <row r="77" spans="1:50" x14ac:dyDescent="0.3">
      <c r="A77" s="79" t="s">
        <v>121</v>
      </c>
      <c r="B77" s="80" t="s">
        <v>233</v>
      </c>
      <c r="C77" s="80" t="s">
        <v>234</v>
      </c>
      <c r="D77" s="25" t="s">
        <v>124</v>
      </c>
      <c r="E77" s="81" t="s">
        <v>237</v>
      </c>
      <c r="F77" s="80" t="s">
        <v>236</v>
      </c>
      <c r="G77" s="82" t="s">
        <v>79</v>
      </c>
      <c r="H77" s="85"/>
      <c r="I77" s="84"/>
      <c r="J77" s="85"/>
      <c r="K77" s="85"/>
      <c r="L77" s="85"/>
      <c r="M77" s="85">
        <f t="shared" si="13"/>
        <v>0</v>
      </c>
      <c r="N77" s="85">
        <f t="shared" si="14"/>
        <v>0</v>
      </c>
      <c r="O77" s="85"/>
      <c r="P77" s="85"/>
      <c r="Q77" s="85"/>
      <c r="R77" s="85">
        <f t="shared" si="15"/>
        <v>0</v>
      </c>
      <c r="S77" s="85"/>
      <c r="T77" s="85">
        <f>15044.47+14872.93+10100</f>
        <v>40017.4</v>
      </c>
      <c r="U77" s="85"/>
      <c r="V77" s="85"/>
      <c r="W77" s="85"/>
      <c r="X77" s="85"/>
      <c r="Y77" s="85"/>
      <c r="Z77" s="85">
        <f>15044.47+14872.93+10100</f>
        <v>40017.4</v>
      </c>
      <c r="AA77" s="86">
        <v>46036</v>
      </c>
      <c r="AB77" s="87" t="s">
        <v>121</v>
      </c>
      <c r="AC77" s="93">
        <v>3342</v>
      </c>
      <c r="AD77" s="85"/>
      <c r="AE77" s="25">
        <f t="shared" si="16"/>
        <v>40017.4</v>
      </c>
      <c r="AF77" s="69">
        <f t="shared" si="4"/>
        <v>5154869.6599999983</v>
      </c>
      <c r="AG77" s="1">
        <v>50211990</v>
      </c>
      <c r="AH77" s="6"/>
      <c r="AI77" s="4"/>
      <c r="AJ77" s="77"/>
      <c r="AK77" s="78"/>
      <c r="AL77" s="77"/>
      <c r="AM77" s="78"/>
      <c r="AN77" s="14"/>
      <c r="AO77" s="14"/>
      <c r="AP77" s="4"/>
      <c r="AQ77" s="34" t="s">
        <v>102</v>
      </c>
      <c r="AR77" s="34"/>
      <c r="AS77" s="34"/>
      <c r="AT77" s="34"/>
      <c r="AU77" s="34"/>
      <c r="AV77" s="85">
        <f>15044.47+14872.93+10100</f>
        <v>40017.4</v>
      </c>
      <c r="AW77" s="34"/>
      <c r="AX77" s="4"/>
    </row>
    <row r="78" spans="1:50" x14ac:dyDescent="0.3">
      <c r="A78" s="79" t="s">
        <v>121</v>
      </c>
      <c r="B78" s="80" t="s">
        <v>233</v>
      </c>
      <c r="C78" s="80" t="s">
        <v>234</v>
      </c>
      <c r="D78" s="25" t="s">
        <v>124</v>
      </c>
      <c r="E78" s="81" t="s">
        <v>238</v>
      </c>
      <c r="F78" s="80" t="s">
        <v>236</v>
      </c>
      <c r="G78" s="82" t="s">
        <v>79</v>
      </c>
      <c r="H78" s="85"/>
      <c r="I78" s="84"/>
      <c r="J78" s="85"/>
      <c r="K78" s="85"/>
      <c r="L78" s="85"/>
      <c r="M78" s="85">
        <f t="shared" si="13"/>
        <v>0</v>
      </c>
      <c r="N78" s="85">
        <f t="shared" si="14"/>
        <v>0</v>
      </c>
      <c r="O78" s="85"/>
      <c r="P78" s="85"/>
      <c r="Q78" s="85"/>
      <c r="R78" s="85">
        <f t="shared" si="15"/>
        <v>0</v>
      </c>
      <c r="S78" s="85"/>
      <c r="T78" s="85">
        <v>28276.420000000002</v>
      </c>
      <c r="U78" s="85"/>
      <c r="V78" s="85"/>
      <c r="W78" s="85"/>
      <c r="X78" s="85"/>
      <c r="Y78" s="85"/>
      <c r="Z78" s="85">
        <v>28276.420000000002</v>
      </c>
      <c r="AA78" s="86">
        <v>46036</v>
      </c>
      <c r="AB78" s="87" t="s">
        <v>121</v>
      </c>
      <c r="AC78" s="93">
        <v>3342</v>
      </c>
      <c r="AD78" s="85"/>
      <c r="AE78" s="25">
        <f t="shared" si="16"/>
        <v>28276.420000000002</v>
      </c>
      <c r="AF78" s="69">
        <f t="shared" ref="AF78:AF141" si="21">+AF77+AD78-AE78</f>
        <v>5126593.2399999984</v>
      </c>
      <c r="AG78" s="1">
        <v>50211990</v>
      </c>
      <c r="AH78" s="6"/>
      <c r="AI78" s="4"/>
      <c r="AJ78" s="77"/>
      <c r="AK78" s="78"/>
      <c r="AL78" s="77"/>
      <c r="AM78" s="78"/>
      <c r="AN78" s="14"/>
      <c r="AO78" s="14"/>
      <c r="AP78" s="4"/>
      <c r="AQ78" s="34" t="s">
        <v>102</v>
      </c>
      <c r="AR78" s="34"/>
      <c r="AS78" s="34"/>
      <c r="AT78" s="34"/>
      <c r="AU78" s="34"/>
      <c r="AV78" s="85">
        <v>28276.420000000002</v>
      </c>
      <c r="AW78" s="34"/>
      <c r="AX78" s="4"/>
    </row>
    <row r="79" spans="1:50" x14ac:dyDescent="0.3">
      <c r="A79" s="79" t="s">
        <v>121</v>
      </c>
      <c r="B79" s="80" t="s">
        <v>233</v>
      </c>
      <c r="C79" s="80" t="s">
        <v>234</v>
      </c>
      <c r="D79" s="25" t="s">
        <v>124</v>
      </c>
      <c r="E79" s="81" t="s">
        <v>239</v>
      </c>
      <c r="F79" s="80" t="s">
        <v>236</v>
      </c>
      <c r="G79" s="82" t="s">
        <v>79</v>
      </c>
      <c r="H79" s="85"/>
      <c r="I79" s="84"/>
      <c r="J79" s="85"/>
      <c r="K79" s="85"/>
      <c r="L79" s="85"/>
      <c r="M79" s="85">
        <f t="shared" si="13"/>
        <v>0</v>
      </c>
      <c r="N79" s="85">
        <f t="shared" si="14"/>
        <v>0</v>
      </c>
      <c r="O79" s="85"/>
      <c r="P79" s="85"/>
      <c r="Q79" s="85"/>
      <c r="R79" s="85">
        <f t="shared" si="15"/>
        <v>0</v>
      </c>
      <c r="S79" s="85"/>
      <c r="T79" s="85">
        <v>14788.03</v>
      </c>
      <c r="U79" s="85"/>
      <c r="V79" s="85"/>
      <c r="W79" s="85"/>
      <c r="X79" s="85"/>
      <c r="Y79" s="85"/>
      <c r="Z79" s="85">
        <v>14788.03</v>
      </c>
      <c r="AA79" s="86">
        <v>46036</v>
      </c>
      <c r="AB79" s="87" t="s">
        <v>121</v>
      </c>
      <c r="AC79" s="93">
        <v>3342</v>
      </c>
      <c r="AD79" s="85"/>
      <c r="AE79" s="25">
        <f t="shared" si="16"/>
        <v>14788.03</v>
      </c>
      <c r="AF79" s="69">
        <f t="shared" si="21"/>
        <v>5111805.2099999981</v>
      </c>
      <c r="AG79" s="1">
        <v>50211990</v>
      </c>
      <c r="AH79" s="6"/>
      <c r="AI79" s="4"/>
      <c r="AJ79" s="77"/>
      <c r="AK79" s="78"/>
      <c r="AL79" s="77"/>
      <c r="AM79" s="78"/>
      <c r="AN79" s="14"/>
      <c r="AO79" s="14"/>
      <c r="AP79" s="4"/>
      <c r="AQ79" s="34" t="s">
        <v>102</v>
      </c>
      <c r="AR79" s="34"/>
      <c r="AS79" s="34"/>
      <c r="AT79" s="34"/>
      <c r="AU79" s="34"/>
      <c r="AV79" s="85">
        <v>14788.03</v>
      </c>
      <c r="AW79" s="34"/>
      <c r="AX79" s="4"/>
    </row>
    <row r="80" spans="1:50" x14ac:dyDescent="0.3">
      <c r="A80" s="79" t="s">
        <v>121</v>
      </c>
      <c r="B80" s="80" t="s">
        <v>233</v>
      </c>
      <c r="C80" s="80" t="s">
        <v>234</v>
      </c>
      <c r="D80" s="25" t="s">
        <v>124</v>
      </c>
      <c r="E80" s="81" t="s">
        <v>235</v>
      </c>
      <c r="F80" s="80" t="s">
        <v>236</v>
      </c>
      <c r="G80" s="82" t="s">
        <v>79</v>
      </c>
      <c r="H80" s="85"/>
      <c r="I80" s="84"/>
      <c r="J80" s="85"/>
      <c r="K80" s="85"/>
      <c r="L80" s="85"/>
      <c r="M80" s="85">
        <f t="shared" si="13"/>
        <v>0</v>
      </c>
      <c r="N80" s="85">
        <f t="shared" si="14"/>
        <v>0</v>
      </c>
      <c r="O80" s="85"/>
      <c r="P80" s="85"/>
      <c r="Q80" s="85"/>
      <c r="R80" s="85">
        <f t="shared" si="15"/>
        <v>0</v>
      </c>
      <c r="S80" s="85"/>
      <c r="T80" s="85">
        <v>32684.43</v>
      </c>
      <c r="U80" s="85"/>
      <c r="V80" s="85">
        <v>125829.94</v>
      </c>
      <c r="W80" s="85"/>
      <c r="X80" s="85"/>
      <c r="Y80" s="85"/>
      <c r="Z80" s="85">
        <v>32684.43</v>
      </c>
      <c r="AA80" s="86">
        <v>46036</v>
      </c>
      <c r="AB80" s="87" t="s">
        <v>121</v>
      </c>
      <c r="AC80" s="93">
        <v>3342</v>
      </c>
      <c r="AD80" s="85"/>
      <c r="AE80" s="25">
        <f t="shared" si="16"/>
        <v>32684.43</v>
      </c>
      <c r="AF80" s="69">
        <f t="shared" si="21"/>
        <v>5079120.7799999984</v>
      </c>
      <c r="AG80" s="1">
        <v>50211990</v>
      </c>
      <c r="AH80" s="6"/>
      <c r="AI80" s="4"/>
      <c r="AJ80" s="77">
        <v>46036</v>
      </c>
      <c r="AK80" s="78">
        <v>0.37847222222222227</v>
      </c>
      <c r="AL80" s="77">
        <v>46036</v>
      </c>
      <c r="AM80" s="78">
        <v>0.49305555555555558</v>
      </c>
      <c r="AN80" s="14" t="str">
        <f t="shared" ref="AN80:AN99" si="22">+TEXT(AM80-AK80,"h:mm")</f>
        <v>2:45</v>
      </c>
      <c r="AO80" s="14">
        <f t="shared" ref="AO80:AO83" si="23">+AN80/3</f>
        <v>3.8194444444444441E-2</v>
      </c>
      <c r="AP80" s="4"/>
      <c r="AQ80" s="34" t="s">
        <v>102</v>
      </c>
      <c r="AR80" s="34"/>
      <c r="AS80" s="34"/>
      <c r="AT80" s="34"/>
      <c r="AU80" s="34"/>
      <c r="AV80" s="85">
        <v>32684.43</v>
      </c>
      <c r="AW80" s="34"/>
      <c r="AX80" s="4"/>
    </row>
    <row r="81" spans="1:50" x14ac:dyDescent="0.3">
      <c r="A81" s="75" t="s">
        <v>80</v>
      </c>
      <c r="B81" s="65" t="s">
        <v>240</v>
      </c>
      <c r="C81" s="65" t="s">
        <v>241</v>
      </c>
      <c r="D81" s="69" t="s">
        <v>83</v>
      </c>
      <c r="E81" s="63" t="s">
        <v>235</v>
      </c>
      <c r="F81" s="65" t="s">
        <v>242</v>
      </c>
      <c r="G81" s="68" t="s">
        <v>79</v>
      </c>
      <c r="H81" s="73"/>
      <c r="I81" s="73"/>
      <c r="J81" s="73">
        <v>3.68</v>
      </c>
      <c r="K81" s="73"/>
      <c r="L81" s="73"/>
      <c r="M81" s="73">
        <f t="shared" si="13"/>
        <v>0</v>
      </c>
      <c r="N81" s="73">
        <f t="shared" si="14"/>
        <v>3.68</v>
      </c>
      <c r="O81" s="73"/>
      <c r="P81" s="73"/>
      <c r="Q81" s="73"/>
      <c r="R81" s="73">
        <f t="shared" si="15"/>
        <v>3.68</v>
      </c>
      <c r="S81" s="73"/>
      <c r="T81" s="73">
        <v>7638.63</v>
      </c>
      <c r="U81" s="73"/>
      <c r="V81" s="73"/>
      <c r="W81" s="73"/>
      <c r="X81" s="73"/>
      <c r="Y81" s="73">
        <v>7638.63</v>
      </c>
      <c r="Z81" s="73">
        <v>7634.95</v>
      </c>
      <c r="AA81" s="92">
        <v>46037</v>
      </c>
      <c r="AB81" s="71" t="s">
        <v>80</v>
      </c>
      <c r="AC81" s="72" t="s">
        <v>243</v>
      </c>
      <c r="AD81" s="73"/>
      <c r="AE81" s="69">
        <f t="shared" si="16"/>
        <v>7634.95</v>
      </c>
      <c r="AF81" s="69">
        <f t="shared" si="21"/>
        <v>5071485.8299999982</v>
      </c>
      <c r="AG81" s="1">
        <v>50204020</v>
      </c>
      <c r="AH81" s="6"/>
      <c r="AI81" s="4"/>
      <c r="AJ81" s="77">
        <v>46037</v>
      </c>
      <c r="AK81" s="78">
        <v>0.40277777777777773</v>
      </c>
      <c r="AL81" s="77">
        <v>46037</v>
      </c>
      <c r="AM81" s="78">
        <v>0.5</v>
      </c>
      <c r="AN81" s="14" t="str">
        <f t="shared" si="22"/>
        <v>2:20</v>
      </c>
      <c r="AO81" s="14">
        <f t="shared" si="23"/>
        <v>3.2407407407407406E-2</v>
      </c>
      <c r="AP81" s="4"/>
      <c r="AQ81" s="34" t="s">
        <v>87</v>
      </c>
      <c r="AR81" s="34"/>
      <c r="AS81" s="73">
        <v>7634.95</v>
      </c>
      <c r="AT81" s="34"/>
      <c r="AU81" s="34"/>
      <c r="AV81" s="34"/>
      <c r="AW81" s="34"/>
      <c r="AX81" s="4"/>
    </row>
    <row r="82" spans="1:50" x14ac:dyDescent="0.3">
      <c r="A82" s="75" t="s">
        <v>80</v>
      </c>
      <c r="B82" s="64" t="s">
        <v>244</v>
      </c>
      <c r="C82" s="65" t="s">
        <v>245</v>
      </c>
      <c r="D82" s="69" t="s">
        <v>83</v>
      </c>
      <c r="E82" s="63" t="s">
        <v>84</v>
      </c>
      <c r="F82" s="65" t="s">
        <v>246</v>
      </c>
      <c r="G82" s="68" t="s">
        <v>79</v>
      </c>
      <c r="H82" s="73"/>
      <c r="I82" s="73">
        <v>28.36</v>
      </c>
      <c r="J82" s="73">
        <v>70.89</v>
      </c>
      <c r="K82" s="73"/>
      <c r="L82" s="73"/>
      <c r="M82" s="73">
        <f t="shared" si="13"/>
        <v>0</v>
      </c>
      <c r="N82" s="73">
        <f t="shared" si="14"/>
        <v>99.25</v>
      </c>
      <c r="O82" s="73"/>
      <c r="P82" s="73"/>
      <c r="Q82" s="73"/>
      <c r="R82" s="73">
        <f t="shared" si="15"/>
        <v>99.25</v>
      </c>
      <c r="S82" s="73"/>
      <c r="T82" s="73">
        <v>1588</v>
      </c>
      <c r="U82" s="73"/>
      <c r="V82" s="73"/>
      <c r="W82" s="73"/>
      <c r="X82" s="73"/>
      <c r="Y82" s="73">
        <v>1588</v>
      </c>
      <c r="Z82" s="73">
        <v>1488.75</v>
      </c>
      <c r="AA82" s="92">
        <v>46037</v>
      </c>
      <c r="AB82" s="71" t="s">
        <v>80</v>
      </c>
      <c r="AC82" s="72" t="s">
        <v>247</v>
      </c>
      <c r="AD82" s="73"/>
      <c r="AE82" s="69">
        <f t="shared" si="16"/>
        <v>1488.75</v>
      </c>
      <c r="AF82" s="69">
        <f t="shared" si="21"/>
        <v>5069997.0799999982</v>
      </c>
      <c r="AG82" s="1">
        <v>50205010</v>
      </c>
      <c r="AH82" s="6"/>
      <c r="AI82" s="4"/>
      <c r="AJ82" s="77">
        <v>46037</v>
      </c>
      <c r="AK82" s="78">
        <v>0.40277777777777773</v>
      </c>
      <c r="AL82" s="77">
        <v>46037</v>
      </c>
      <c r="AM82" s="78">
        <v>0.5</v>
      </c>
      <c r="AN82" s="14" t="str">
        <f t="shared" si="22"/>
        <v>2:20</v>
      </c>
      <c r="AO82" s="14">
        <f t="shared" si="23"/>
        <v>3.2407407407407406E-2</v>
      </c>
      <c r="AP82" s="4"/>
      <c r="AQ82" s="34" t="s">
        <v>102</v>
      </c>
      <c r="AR82" s="34"/>
      <c r="AS82" s="73">
        <v>1488.75</v>
      </c>
      <c r="AT82" s="34"/>
      <c r="AU82" s="34"/>
      <c r="AV82" s="34"/>
      <c r="AW82" s="34"/>
      <c r="AX82" s="4"/>
    </row>
    <row r="83" spans="1:50" x14ac:dyDescent="0.3">
      <c r="A83" s="75" t="s">
        <v>80</v>
      </c>
      <c r="B83" s="64" t="s">
        <v>248</v>
      </c>
      <c r="C83" s="65" t="s">
        <v>123</v>
      </c>
      <c r="D83" s="69" t="s">
        <v>168</v>
      </c>
      <c r="E83" s="63" t="s">
        <v>84</v>
      </c>
      <c r="F83" s="65" t="s">
        <v>249</v>
      </c>
      <c r="G83" s="68" t="s">
        <v>79</v>
      </c>
      <c r="H83" s="73">
        <v>112379.32</v>
      </c>
      <c r="I83" s="73"/>
      <c r="J83" s="73"/>
      <c r="K83" s="73"/>
      <c r="L83" s="73"/>
      <c r="M83" s="73">
        <f>(T83-R83)-Z83-S83-(438358.17-112379.32)</f>
        <v>0</v>
      </c>
      <c r="N83" s="73">
        <f>SUM(H83:L83)</f>
        <v>112379.32</v>
      </c>
      <c r="O83" s="73"/>
      <c r="P83" s="73"/>
      <c r="Q83" s="73"/>
      <c r="R83" s="73">
        <f t="shared" si="15"/>
        <v>112379.32</v>
      </c>
      <c r="S83" s="73">
        <f>704163.83-352081.96</f>
        <v>352081.86999999994</v>
      </c>
      <c r="T83" s="73">
        <v>1142522</v>
      </c>
      <c r="U83" s="73"/>
      <c r="V83" s="73"/>
      <c r="W83" s="73"/>
      <c r="X83" s="73"/>
      <c r="Y83" s="73">
        <v>1142522</v>
      </c>
      <c r="Z83" s="73">
        <v>352081.96</v>
      </c>
      <c r="AA83" s="92">
        <v>46037</v>
      </c>
      <c r="AB83" s="71" t="s">
        <v>80</v>
      </c>
      <c r="AC83" s="72" t="s">
        <v>250</v>
      </c>
      <c r="AD83" s="73"/>
      <c r="AE83" s="69">
        <f t="shared" si="16"/>
        <v>1030142.6799999999</v>
      </c>
      <c r="AF83" s="69">
        <f t="shared" si="21"/>
        <v>4039854.3999999985</v>
      </c>
      <c r="AG83" s="1">
        <v>50101010</v>
      </c>
      <c r="AH83" s="6"/>
      <c r="AI83" s="4"/>
      <c r="AJ83" s="77">
        <v>46037</v>
      </c>
      <c r="AK83" s="78">
        <v>0.44791666666666669</v>
      </c>
      <c r="AL83" s="77">
        <v>46037</v>
      </c>
      <c r="AM83" s="78">
        <v>0.5</v>
      </c>
      <c r="AN83" s="14" t="str">
        <f t="shared" si="22"/>
        <v>1:15</v>
      </c>
      <c r="AO83" s="14">
        <f t="shared" si="23"/>
        <v>1.7361111111111112E-2</v>
      </c>
      <c r="AP83" s="4"/>
      <c r="AQ83" s="34" t="s">
        <v>102</v>
      </c>
      <c r="AR83" s="73">
        <v>352081.96</v>
      </c>
      <c r="AS83" s="34"/>
      <c r="AT83" s="34"/>
      <c r="AU83" s="34"/>
      <c r="AV83" s="34"/>
      <c r="AW83" s="34"/>
      <c r="AX83" s="4"/>
    </row>
    <row r="84" spans="1:50" x14ac:dyDescent="0.3">
      <c r="A84" s="75" t="s">
        <v>80</v>
      </c>
      <c r="B84" s="64" t="s">
        <v>251</v>
      </c>
      <c r="C84" s="65" t="s">
        <v>252</v>
      </c>
      <c r="D84" s="69" t="s">
        <v>83</v>
      </c>
      <c r="E84" s="63" t="s">
        <v>143</v>
      </c>
      <c r="F84" s="65" t="s">
        <v>207</v>
      </c>
      <c r="G84" s="68" t="s">
        <v>79</v>
      </c>
      <c r="H84" s="73"/>
      <c r="I84" s="73"/>
      <c r="J84" s="73"/>
      <c r="K84" s="73"/>
      <c r="L84" s="73"/>
      <c r="M84" s="73">
        <f t="shared" ref="M84:M103" si="24">(T84-R84)-Z84</f>
        <v>0</v>
      </c>
      <c r="N84" s="73">
        <f t="shared" si="14"/>
        <v>0</v>
      </c>
      <c r="O84" s="73"/>
      <c r="P84" s="73"/>
      <c r="Q84" s="73"/>
      <c r="R84" s="73">
        <f t="shared" si="15"/>
        <v>0</v>
      </c>
      <c r="S84" s="73"/>
      <c r="T84" s="73">
        <v>600</v>
      </c>
      <c r="U84" s="73"/>
      <c r="V84" s="73"/>
      <c r="W84" s="73"/>
      <c r="X84" s="73"/>
      <c r="Y84" s="73">
        <v>600</v>
      </c>
      <c r="Z84" s="73">
        <v>600</v>
      </c>
      <c r="AA84" s="92">
        <v>46038</v>
      </c>
      <c r="AB84" s="71" t="s">
        <v>80</v>
      </c>
      <c r="AC84" s="72" t="s">
        <v>253</v>
      </c>
      <c r="AD84" s="73"/>
      <c r="AE84" s="69">
        <f t="shared" si="16"/>
        <v>600</v>
      </c>
      <c r="AF84" s="69">
        <f t="shared" si="21"/>
        <v>4039254.3999999985</v>
      </c>
      <c r="AG84" s="1">
        <v>50201010</v>
      </c>
      <c r="AH84" s="6"/>
      <c r="AI84" s="4"/>
      <c r="AJ84" s="77">
        <v>46038</v>
      </c>
      <c r="AK84" s="78">
        <v>0.56597222222222221</v>
      </c>
      <c r="AL84" s="77">
        <v>46038</v>
      </c>
      <c r="AM84" s="78">
        <v>0.625</v>
      </c>
      <c r="AN84" s="14" t="str">
        <f t="shared" si="22"/>
        <v>1:25</v>
      </c>
      <c r="AO84" s="14">
        <f t="shared" ref="AO84:AO99" si="25">+AN84/8</f>
        <v>7.378472222222222E-3</v>
      </c>
      <c r="AP84" s="4"/>
      <c r="AQ84" s="34" t="s">
        <v>102</v>
      </c>
      <c r="AR84" s="34"/>
      <c r="AS84" s="73">
        <v>600</v>
      </c>
      <c r="AT84" s="34"/>
      <c r="AU84" s="34"/>
      <c r="AV84" s="34"/>
      <c r="AW84" s="34"/>
      <c r="AX84" s="4"/>
    </row>
    <row r="85" spans="1:50" x14ac:dyDescent="0.3">
      <c r="A85" s="75" t="s">
        <v>80</v>
      </c>
      <c r="B85" s="64" t="s">
        <v>254</v>
      </c>
      <c r="C85" s="65" t="s">
        <v>255</v>
      </c>
      <c r="D85" s="69" t="s">
        <v>83</v>
      </c>
      <c r="E85" s="63" t="s">
        <v>99</v>
      </c>
      <c r="F85" s="65" t="s">
        <v>207</v>
      </c>
      <c r="G85" s="68" t="s">
        <v>79</v>
      </c>
      <c r="H85" s="73"/>
      <c r="I85" s="73"/>
      <c r="J85" s="73"/>
      <c r="K85" s="73"/>
      <c r="L85" s="73"/>
      <c r="M85" s="73">
        <f t="shared" si="24"/>
        <v>0</v>
      </c>
      <c r="N85" s="73">
        <f t="shared" si="14"/>
        <v>0</v>
      </c>
      <c r="O85" s="73"/>
      <c r="P85" s="73"/>
      <c r="Q85" s="73"/>
      <c r="R85" s="73">
        <f t="shared" si="15"/>
        <v>0</v>
      </c>
      <c r="S85" s="73"/>
      <c r="T85" s="73">
        <v>1000</v>
      </c>
      <c r="U85" s="73"/>
      <c r="V85" s="73"/>
      <c r="W85" s="73"/>
      <c r="X85" s="73"/>
      <c r="Y85" s="73">
        <v>1000</v>
      </c>
      <c r="Z85" s="73">
        <v>1000</v>
      </c>
      <c r="AA85" s="92">
        <v>46038</v>
      </c>
      <c r="AB85" s="71" t="s">
        <v>80</v>
      </c>
      <c r="AC85" s="72" t="s">
        <v>256</v>
      </c>
      <c r="AD85" s="73"/>
      <c r="AE85" s="69">
        <f t="shared" si="16"/>
        <v>1000</v>
      </c>
      <c r="AF85" s="69">
        <f t="shared" si="21"/>
        <v>4038254.3999999985</v>
      </c>
      <c r="AG85" s="1">
        <v>50205020</v>
      </c>
      <c r="AH85" s="6"/>
      <c r="AI85" s="4"/>
      <c r="AJ85" s="77">
        <v>46038</v>
      </c>
      <c r="AK85" s="78">
        <v>0.56597222222222221</v>
      </c>
      <c r="AL85" s="77">
        <v>46038</v>
      </c>
      <c r="AM85" s="78">
        <v>0.625</v>
      </c>
      <c r="AN85" s="14" t="str">
        <f t="shared" si="22"/>
        <v>1:25</v>
      </c>
      <c r="AO85" s="14">
        <f t="shared" si="25"/>
        <v>7.378472222222222E-3</v>
      </c>
      <c r="AP85" s="4"/>
      <c r="AQ85" s="34" t="s">
        <v>102</v>
      </c>
      <c r="AR85" s="34"/>
      <c r="AS85" s="73">
        <v>1000</v>
      </c>
      <c r="AT85" s="34"/>
      <c r="AU85" s="34"/>
      <c r="AV85" s="34"/>
      <c r="AW85" s="34"/>
      <c r="AX85" s="4"/>
    </row>
    <row r="86" spans="1:50" x14ac:dyDescent="0.3">
      <c r="A86" s="75" t="s">
        <v>80</v>
      </c>
      <c r="B86" s="64" t="s">
        <v>257</v>
      </c>
      <c r="C86" s="65" t="s">
        <v>258</v>
      </c>
      <c r="D86" s="69" t="s">
        <v>83</v>
      </c>
      <c r="E86" s="63" t="s">
        <v>84</v>
      </c>
      <c r="F86" s="65" t="s">
        <v>259</v>
      </c>
      <c r="G86" s="68" t="s">
        <v>79</v>
      </c>
      <c r="H86" s="73"/>
      <c r="I86" s="73"/>
      <c r="J86" s="73"/>
      <c r="K86" s="73"/>
      <c r="L86" s="73"/>
      <c r="M86" s="73">
        <f t="shared" si="24"/>
        <v>0</v>
      </c>
      <c r="N86" s="73">
        <f t="shared" si="14"/>
        <v>0</v>
      </c>
      <c r="O86" s="73"/>
      <c r="P86" s="73"/>
      <c r="Q86" s="73"/>
      <c r="R86" s="73">
        <f t="shared" si="15"/>
        <v>0</v>
      </c>
      <c r="S86" s="73"/>
      <c r="T86" s="73">
        <v>4631</v>
      </c>
      <c r="U86" s="73"/>
      <c r="V86" s="73"/>
      <c r="W86" s="73"/>
      <c r="X86" s="73"/>
      <c r="Y86" s="73">
        <v>4631</v>
      </c>
      <c r="Z86" s="73">
        <v>4631</v>
      </c>
      <c r="AA86" s="92">
        <v>46038</v>
      </c>
      <c r="AB86" s="71" t="s">
        <v>80</v>
      </c>
      <c r="AC86" s="72" t="s">
        <v>260</v>
      </c>
      <c r="AD86" s="73"/>
      <c r="AE86" s="69">
        <f t="shared" si="16"/>
        <v>4631</v>
      </c>
      <c r="AF86" s="69">
        <f t="shared" si="21"/>
        <v>4033623.3999999985</v>
      </c>
      <c r="AG86" s="1">
        <v>10101020</v>
      </c>
      <c r="AH86" s="6"/>
      <c r="AI86" s="4"/>
      <c r="AJ86" s="77">
        <v>46038</v>
      </c>
      <c r="AK86" s="78">
        <v>0.56597222222222221</v>
      </c>
      <c r="AL86" s="77">
        <v>46038</v>
      </c>
      <c r="AM86" s="78">
        <v>0.625</v>
      </c>
      <c r="AN86" s="14" t="str">
        <f t="shared" si="22"/>
        <v>1:25</v>
      </c>
      <c r="AO86" s="14">
        <f t="shared" si="25"/>
        <v>7.378472222222222E-3</v>
      </c>
      <c r="AP86" s="4"/>
      <c r="AQ86" s="34" t="s">
        <v>102</v>
      </c>
      <c r="AR86" s="34"/>
      <c r="AS86" s="73">
        <v>4631</v>
      </c>
      <c r="AT86" s="34"/>
      <c r="AU86" s="34"/>
      <c r="AV86" s="34"/>
      <c r="AW86" s="34"/>
      <c r="AX86" s="4"/>
    </row>
    <row r="87" spans="1:50" x14ac:dyDescent="0.3">
      <c r="A87" s="75" t="s">
        <v>80</v>
      </c>
      <c r="B87" s="64" t="s">
        <v>261</v>
      </c>
      <c r="C87" s="65" t="s">
        <v>262</v>
      </c>
      <c r="D87" s="69" t="s">
        <v>83</v>
      </c>
      <c r="E87" s="63" t="s">
        <v>94</v>
      </c>
      <c r="F87" s="65" t="s">
        <v>263</v>
      </c>
      <c r="G87" s="68" t="s">
        <v>79</v>
      </c>
      <c r="H87" s="73"/>
      <c r="I87" s="73"/>
      <c r="J87" s="73"/>
      <c r="K87" s="73"/>
      <c r="L87" s="73"/>
      <c r="M87" s="73">
        <f t="shared" si="24"/>
        <v>0</v>
      </c>
      <c r="N87" s="73">
        <f t="shared" si="14"/>
        <v>0</v>
      </c>
      <c r="O87" s="73"/>
      <c r="P87" s="73"/>
      <c r="Q87" s="73"/>
      <c r="R87" s="73">
        <f t="shared" si="15"/>
        <v>0</v>
      </c>
      <c r="S87" s="73"/>
      <c r="T87" s="73">
        <v>3914.5</v>
      </c>
      <c r="U87" s="73"/>
      <c r="V87" s="73"/>
      <c r="W87" s="73"/>
      <c r="X87" s="73"/>
      <c r="Y87" s="73">
        <v>3914.5</v>
      </c>
      <c r="Z87" s="73">
        <v>3914.5</v>
      </c>
      <c r="AA87" s="92">
        <v>46038</v>
      </c>
      <c r="AB87" s="71" t="s">
        <v>80</v>
      </c>
      <c r="AC87" s="72" t="s">
        <v>264</v>
      </c>
      <c r="AD87" s="73"/>
      <c r="AE87" s="69">
        <f t="shared" si="16"/>
        <v>3914.5</v>
      </c>
      <c r="AF87" s="69">
        <f t="shared" si="21"/>
        <v>4029708.8999999985</v>
      </c>
      <c r="AG87" s="1">
        <v>10101020</v>
      </c>
      <c r="AH87" s="6"/>
      <c r="AI87" s="4"/>
      <c r="AJ87" s="77">
        <v>46038</v>
      </c>
      <c r="AK87" s="78">
        <v>0.56597222222222221</v>
      </c>
      <c r="AL87" s="77">
        <v>46038</v>
      </c>
      <c r="AM87" s="78">
        <v>0.625</v>
      </c>
      <c r="AN87" s="14" t="str">
        <f t="shared" si="22"/>
        <v>1:25</v>
      </c>
      <c r="AO87" s="14">
        <f t="shared" si="25"/>
        <v>7.378472222222222E-3</v>
      </c>
      <c r="AP87" s="4"/>
      <c r="AQ87" s="34" t="s">
        <v>102</v>
      </c>
      <c r="AR87" s="34"/>
      <c r="AS87" s="73">
        <v>3914.5</v>
      </c>
      <c r="AT87" s="34"/>
      <c r="AU87" s="34"/>
      <c r="AV87" s="34"/>
      <c r="AW87" s="34"/>
      <c r="AX87" s="4"/>
    </row>
    <row r="88" spans="1:50" x14ac:dyDescent="0.3">
      <c r="A88" s="75" t="s">
        <v>80</v>
      </c>
      <c r="B88" s="64" t="s">
        <v>265</v>
      </c>
      <c r="C88" s="65" t="s">
        <v>266</v>
      </c>
      <c r="D88" s="69" t="s">
        <v>83</v>
      </c>
      <c r="E88" s="63" t="s">
        <v>99</v>
      </c>
      <c r="F88" s="65" t="s">
        <v>267</v>
      </c>
      <c r="G88" s="68" t="s">
        <v>79</v>
      </c>
      <c r="H88" s="73"/>
      <c r="I88" s="73"/>
      <c r="J88" s="73"/>
      <c r="K88" s="73"/>
      <c r="L88" s="73"/>
      <c r="M88" s="73">
        <f t="shared" si="24"/>
        <v>0</v>
      </c>
      <c r="N88" s="73">
        <f t="shared" si="14"/>
        <v>0</v>
      </c>
      <c r="O88" s="73"/>
      <c r="P88" s="73"/>
      <c r="Q88" s="73"/>
      <c r="R88" s="73">
        <f t="shared" si="15"/>
        <v>0</v>
      </c>
      <c r="S88" s="73"/>
      <c r="T88" s="73">
        <v>800</v>
      </c>
      <c r="U88" s="73"/>
      <c r="V88" s="73"/>
      <c r="W88" s="73"/>
      <c r="X88" s="73"/>
      <c r="Y88" s="73">
        <v>800</v>
      </c>
      <c r="Z88" s="73">
        <v>800</v>
      </c>
      <c r="AA88" s="92">
        <v>46038</v>
      </c>
      <c r="AB88" s="71" t="s">
        <v>80</v>
      </c>
      <c r="AC88" s="72" t="s">
        <v>268</v>
      </c>
      <c r="AD88" s="73"/>
      <c r="AE88" s="69">
        <f t="shared" si="16"/>
        <v>800</v>
      </c>
      <c r="AF88" s="69">
        <f t="shared" si="21"/>
        <v>4028908.8999999985</v>
      </c>
      <c r="AG88" s="1">
        <v>10101020</v>
      </c>
      <c r="AH88" s="6"/>
      <c r="AI88" s="4"/>
      <c r="AJ88" s="77">
        <v>46038</v>
      </c>
      <c r="AK88" s="78">
        <v>0.56597222222222221</v>
      </c>
      <c r="AL88" s="77">
        <v>46038</v>
      </c>
      <c r="AM88" s="78">
        <v>0.625</v>
      </c>
      <c r="AN88" s="14" t="str">
        <f t="shared" si="22"/>
        <v>1:25</v>
      </c>
      <c r="AO88" s="14">
        <f t="shared" si="25"/>
        <v>7.378472222222222E-3</v>
      </c>
      <c r="AP88" s="4"/>
      <c r="AQ88" s="34" t="s">
        <v>102</v>
      </c>
      <c r="AR88" s="34"/>
      <c r="AS88" s="73">
        <v>800</v>
      </c>
      <c r="AT88" s="34"/>
      <c r="AU88" s="34"/>
      <c r="AV88" s="34"/>
      <c r="AW88" s="34"/>
      <c r="AX88" s="4"/>
    </row>
    <row r="89" spans="1:50" x14ac:dyDescent="0.3">
      <c r="A89" s="75" t="s">
        <v>80</v>
      </c>
      <c r="B89" s="64" t="s">
        <v>269</v>
      </c>
      <c r="C89" s="65" t="s">
        <v>270</v>
      </c>
      <c r="D89" s="69" t="s">
        <v>83</v>
      </c>
      <c r="E89" s="63" t="s">
        <v>105</v>
      </c>
      <c r="F89" s="65" t="s">
        <v>271</v>
      </c>
      <c r="G89" s="68" t="s">
        <v>79</v>
      </c>
      <c r="H89" s="73"/>
      <c r="I89" s="73"/>
      <c r="J89" s="73"/>
      <c r="K89" s="73"/>
      <c r="L89" s="73"/>
      <c r="M89" s="73">
        <f t="shared" si="24"/>
        <v>0</v>
      </c>
      <c r="N89" s="73">
        <f t="shared" si="14"/>
        <v>0</v>
      </c>
      <c r="O89" s="73"/>
      <c r="P89" s="73"/>
      <c r="Q89" s="73"/>
      <c r="R89" s="73">
        <f t="shared" si="15"/>
        <v>0</v>
      </c>
      <c r="S89" s="73"/>
      <c r="T89" s="73">
        <v>2176</v>
      </c>
      <c r="U89" s="73"/>
      <c r="V89" s="73"/>
      <c r="W89" s="73"/>
      <c r="X89" s="73"/>
      <c r="Y89" s="73">
        <v>2176</v>
      </c>
      <c r="Z89" s="73">
        <v>2176</v>
      </c>
      <c r="AA89" s="92">
        <v>46038</v>
      </c>
      <c r="AB89" s="71" t="s">
        <v>80</v>
      </c>
      <c r="AC89" s="72" t="s">
        <v>272</v>
      </c>
      <c r="AD89" s="73"/>
      <c r="AE89" s="69">
        <f t="shared" si="16"/>
        <v>2176</v>
      </c>
      <c r="AF89" s="69">
        <f t="shared" si="21"/>
        <v>4026732.8999999985</v>
      </c>
      <c r="AG89" s="1">
        <v>10101020</v>
      </c>
      <c r="AH89" s="6"/>
      <c r="AI89" s="4"/>
      <c r="AJ89" s="77">
        <v>46038</v>
      </c>
      <c r="AK89" s="78">
        <v>0.56597222222222221</v>
      </c>
      <c r="AL89" s="77">
        <v>46038</v>
      </c>
      <c r="AM89" s="78">
        <v>0.625</v>
      </c>
      <c r="AN89" s="14" t="str">
        <f t="shared" si="22"/>
        <v>1:25</v>
      </c>
      <c r="AO89" s="14">
        <f t="shared" si="25"/>
        <v>7.378472222222222E-3</v>
      </c>
      <c r="AP89" s="4"/>
      <c r="AQ89" s="34" t="s">
        <v>102</v>
      </c>
      <c r="AR89" s="34"/>
      <c r="AS89" s="73">
        <v>2176</v>
      </c>
      <c r="AT89" s="34"/>
      <c r="AU89" s="34"/>
      <c r="AV89" s="34"/>
      <c r="AW89" s="34"/>
      <c r="AX89" s="4"/>
    </row>
    <row r="90" spans="1:50" x14ac:dyDescent="0.3">
      <c r="A90" s="75" t="s">
        <v>80</v>
      </c>
      <c r="B90" s="64" t="s">
        <v>273</v>
      </c>
      <c r="C90" s="65" t="s">
        <v>255</v>
      </c>
      <c r="D90" s="69" t="s">
        <v>83</v>
      </c>
      <c r="E90" s="63" t="s">
        <v>99</v>
      </c>
      <c r="F90" s="65" t="s">
        <v>274</v>
      </c>
      <c r="G90" s="68" t="s">
        <v>79</v>
      </c>
      <c r="H90" s="73"/>
      <c r="I90" s="73"/>
      <c r="J90" s="73"/>
      <c r="K90" s="73"/>
      <c r="L90" s="73"/>
      <c r="M90" s="73">
        <f t="shared" si="24"/>
        <v>0</v>
      </c>
      <c r="N90" s="73">
        <f t="shared" si="14"/>
        <v>0</v>
      </c>
      <c r="O90" s="73"/>
      <c r="P90" s="73"/>
      <c r="Q90" s="73"/>
      <c r="R90" s="73">
        <f t="shared" si="15"/>
        <v>0</v>
      </c>
      <c r="S90" s="73"/>
      <c r="T90" s="73">
        <v>3269.5</v>
      </c>
      <c r="U90" s="73"/>
      <c r="V90" s="73"/>
      <c r="W90" s="73"/>
      <c r="X90" s="73"/>
      <c r="Y90" s="73">
        <v>3269.5</v>
      </c>
      <c r="Z90" s="73">
        <v>3269.5</v>
      </c>
      <c r="AA90" s="92">
        <v>46038</v>
      </c>
      <c r="AB90" s="71" t="s">
        <v>80</v>
      </c>
      <c r="AC90" s="72" t="s">
        <v>275</v>
      </c>
      <c r="AD90" s="73"/>
      <c r="AE90" s="69">
        <f t="shared" si="16"/>
        <v>3269.5</v>
      </c>
      <c r="AF90" s="69">
        <f t="shared" si="21"/>
        <v>4023463.3999999985</v>
      </c>
      <c r="AG90" s="1">
        <v>10101020</v>
      </c>
      <c r="AH90" s="6"/>
      <c r="AI90" s="4"/>
      <c r="AJ90" s="77">
        <v>46038</v>
      </c>
      <c r="AK90" s="78">
        <v>0.56597222222222221</v>
      </c>
      <c r="AL90" s="77">
        <v>46038</v>
      </c>
      <c r="AM90" s="78">
        <v>0.625</v>
      </c>
      <c r="AN90" s="14" t="str">
        <f t="shared" si="22"/>
        <v>1:25</v>
      </c>
      <c r="AO90" s="14">
        <f t="shared" si="25"/>
        <v>7.378472222222222E-3</v>
      </c>
      <c r="AP90" s="4"/>
      <c r="AQ90" s="34" t="s">
        <v>102</v>
      </c>
      <c r="AR90" s="34"/>
      <c r="AS90" s="73">
        <v>3269.5</v>
      </c>
      <c r="AT90" s="34"/>
      <c r="AU90" s="34"/>
      <c r="AV90" s="34"/>
      <c r="AW90" s="34"/>
      <c r="AX90" s="4"/>
    </row>
    <row r="91" spans="1:50" x14ac:dyDescent="0.3">
      <c r="A91" s="75" t="s">
        <v>80</v>
      </c>
      <c r="B91" s="64" t="s">
        <v>276</v>
      </c>
      <c r="C91" s="65" t="s">
        <v>203</v>
      </c>
      <c r="D91" s="69" t="s">
        <v>83</v>
      </c>
      <c r="E91" s="63" t="s">
        <v>154</v>
      </c>
      <c r="F91" s="65" t="s">
        <v>277</v>
      </c>
      <c r="G91" s="68" t="s">
        <v>79</v>
      </c>
      <c r="H91" s="73"/>
      <c r="I91" s="73"/>
      <c r="J91" s="73"/>
      <c r="K91" s="73"/>
      <c r="L91" s="73"/>
      <c r="M91" s="73">
        <f t="shared" si="24"/>
        <v>0</v>
      </c>
      <c r="N91" s="73">
        <f t="shared" si="14"/>
        <v>0</v>
      </c>
      <c r="O91" s="73"/>
      <c r="P91" s="73"/>
      <c r="Q91" s="73"/>
      <c r="R91" s="73">
        <f t="shared" si="15"/>
        <v>0</v>
      </c>
      <c r="S91" s="73"/>
      <c r="T91" s="73">
        <v>2946</v>
      </c>
      <c r="U91" s="73"/>
      <c r="V91" s="73"/>
      <c r="W91" s="73"/>
      <c r="X91" s="73"/>
      <c r="Y91" s="73">
        <v>2946</v>
      </c>
      <c r="Z91" s="73">
        <v>2946</v>
      </c>
      <c r="AA91" s="92">
        <v>46038</v>
      </c>
      <c r="AB91" s="71" t="s">
        <v>80</v>
      </c>
      <c r="AC91" s="72" t="s">
        <v>278</v>
      </c>
      <c r="AD91" s="73"/>
      <c r="AE91" s="69">
        <f t="shared" si="16"/>
        <v>2946</v>
      </c>
      <c r="AF91" s="69">
        <f t="shared" si="21"/>
        <v>4020517.3999999985</v>
      </c>
      <c r="AG91" s="1">
        <v>10101020</v>
      </c>
      <c r="AH91" s="6"/>
      <c r="AI91" s="4"/>
      <c r="AJ91" s="77">
        <v>46038</v>
      </c>
      <c r="AK91" s="78">
        <v>0.56597222222222221</v>
      </c>
      <c r="AL91" s="77">
        <v>46038</v>
      </c>
      <c r="AM91" s="78">
        <v>0.625</v>
      </c>
      <c r="AN91" s="14" t="str">
        <f t="shared" si="22"/>
        <v>1:25</v>
      </c>
      <c r="AO91" s="14">
        <f t="shared" si="25"/>
        <v>7.378472222222222E-3</v>
      </c>
      <c r="AP91" s="4"/>
      <c r="AQ91" s="34" t="s">
        <v>102</v>
      </c>
      <c r="AR91" s="34"/>
      <c r="AS91" s="73">
        <v>2946</v>
      </c>
      <c r="AT91" s="34"/>
      <c r="AU91" s="34"/>
      <c r="AV91" s="34"/>
      <c r="AW91" s="34"/>
      <c r="AX91" s="4"/>
    </row>
    <row r="92" spans="1:50" x14ac:dyDescent="0.3">
      <c r="A92" s="63"/>
      <c r="B92" s="64"/>
      <c r="C92" s="65" t="s">
        <v>279</v>
      </c>
      <c r="D92" s="69" t="s">
        <v>168</v>
      </c>
      <c r="E92" s="73">
        <v>19854.349999999999</v>
      </c>
      <c r="F92" s="65" t="s">
        <v>280</v>
      </c>
      <c r="G92" s="68" t="s">
        <v>79</v>
      </c>
      <c r="H92" s="73"/>
      <c r="I92" s="73"/>
      <c r="J92" s="73"/>
      <c r="K92" s="73"/>
      <c r="L92" s="73"/>
      <c r="M92" s="73">
        <f t="shared" si="24"/>
        <v>0</v>
      </c>
      <c r="N92" s="73">
        <f t="shared" si="14"/>
        <v>0</v>
      </c>
      <c r="O92" s="73"/>
      <c r="P92" s="73"/>
      <c r="Q92" s="73"/>
      <c r="R92" s="73">
        <f t="shared" si="15"/>
        <v>0</v>
      </c>
      <c r="S92" s="73"/>
      <c r="T92" s="73"/>
      <c r="U92" s="73"/>
      <c r="V92" s="73"/>
      <c r="W92" s="73"/>
      <c r="X92" s="73"/>
      <c r="Y92" s="73"/>
      <c r="Z92" s="73"/>
      <c r="AA92" s="70">
        <v>46042</v>
      </c>
      <c r="AB92" s="71" t="s">
        <v>80</v>
      </c>
      <c r="AC92" s="72" t="s">
        <v>281</v>
      </c>
      <c r="AD92" s="73"/>
      <c r="AE92" s="69">
        <f t="shared" si="16"/>
        <v>0</v>
      </c>
      <c r="AF92" s="69">
        <f t="shared" si="21"/>
        <v>4020517.3999999985</v>
      </c>
      <c r="AG92" s="1">
        <v>20201030</v>
      </c>
      <c r="AH92" s="6"/>
      <c r="AI92" s="4"/>
      <c r="AJ92" s="77">
        <v>46042</v>
      </c>
      <c r="AK92" s="78">
        <v>0.375</v>
      </c>
      <c r="AL92" s="77">
        <v>46042</v>
      </c>
      <c r="AM92" s="78">
        <v>0.5</v>
      </c>
      <c r="AN92" s="14" t="str">
        <f t="shared" si="22"/>
        <v>3:00</v>
      </c>
      <c r="AO92" s="14">
        <f t="shared" si="25"/>
        <v>1.5625E-2</v>
      </c>
      <c r="AP92" s="4"/>
      <c r="AQ92" s="34" t="s">
        <v>102</v>
      </c>
      <c r="AR92" s="73">
        <v>19854.349999999999</v>
      </c>
      <c r="AS92" s="34"/>
      <c r="AT92" s="34"/>
      <c r="AU92" s="34"/>
      <c r="AV92" s="34"/>
      <c r="AW92" s="34"/>
      <c r="AX92" s="4"/>
    </row>
    <row r="93" spans="1:50" x14ac:dyDescent="0.3">
      <c r="A93" s="63"/>
      <c r="B93" s="64"/>
      <c r="C93" s="65" t="s">
        <v>123</v>
      </c>
      <c r="D93" s="69" t="s">
        <v>168</v>
      </c>
      <c r="E93" s="73">
        <v>243333.56</v>
      </c>
      <c r="F93" s="65" t="s">
        <v>282</v>
      </c>
      <c r="G93" s="68" t="s">
        <v>79</v>
      </c>
      <c r="H93" s="73"/>
      <c r="I93" s="73"/>
      <c r="J93" s="73"/>
      <c r="K93" s="73"/>
      <c r="L93" s="73"/>
      <c r="M93" s="73">
        <f t="shared" si="24"/>
        <v>0</v>
      </c>
      <c r="N93" s="73">
        <f t="shared" si="14"/>
        <v>0</v>
      </c>
      <c r="O93" s="73"/>
      <c r="P93" s="73"/>
      <c r="Q93" s="73"/>
      <c r="R93" s="73">
        <f t="shared" si="15"/>
        <v>0</v>
      </c>
      <c r="S93" s="73"/>
      <c r="T93" s="73"/>
      <c r="U93" s="73"/>
      <c r="V93" s="73"/>
      <c r="W93" s="73"/>
      <c r="X93" s="73"/>
      <c r="Y93" s="73"/>
      <c r="Z93" s="73"/>
      <c r="AA93" s="70">
        <v>46042</v>
      </c>
      <c r="AB93" s="71" t="s">
        <v>80</v>
      </c>
      <c r="AC93" s="72" t="s">
        <v>283</v>
      </c>
      <c r="AD93" s="73"/>
      <c r="AE93" s="69">
        <f t="shared" si="16"/>
        <v>0</v>
      </c>
      <c r="AF93" s="69">
        <f t="shared" si="21"/>
        <v>4020517.3999999985</v>
      </c>
      <c r="AG93" s="1"/>
      <c r="AH93" s="6"/>
      <c r="AI93" s="4"/>
      <c r="AJ93" s="77">
        <v>46042</v>
      </c>
      <c r="AK93" s="78">
        <v>0.375</v>
      </c>
      <c r="AL93" s="77">
        <v>46042</v>
      </c>
      <c r="AM93" s="78">
        <v>0.5</v>
      </c>
      <c r="AN93" s="14" t="str">
        <f t="shared" si="22"/>
        <v>3:00</v>
      </c>
      <c r="AO93" s="14">
        <f t="shared" si="25"/>
        <v>1.5625E-2</v>
      </c>
      <c r="AP93" s="4"/>
      <c r="AQ93" s="34" t="s">
        <v>87</v>
      </c>
      <c r="AR93" s="73">
        <v>243333.56</v>
      </c>
      <c r="AS93" s="34"/>
      <c r="AT93" s="34"/>
      <c r="AU93" s="34"/>
      <c r="AV93" s="34"/>
      <c r="AW93" s="34"/>
      <c r="AX93" s="4"/>
    </row>
    <row r="94" spans="1:50" x14ac:dyDescent="0.3">
      <c r="A94" s="63"/>
      <c r="B94" s="64"/>
      <c r="C94" s="65" t="s">
        <v>284</v>
      </c>
      <c r="D94" s="69" t="s">
        <v>168</v>
      </c>
      <c r="E94" s="73">
        <v>3900</v>
      </c>
      <c r="F94" s="65" t="s">
        <v>285</v>
      </c>
      <c r="G94" s="68" t="s">
        <v>79</v>
      </c>
      <c r="H94" s="73"/>
      <c r="I94" s="73"/>
      <c r="J94" s="73"/>
      <c r="K94" s="73"/>
      <c r="L94" s="73"/>
      <c r="M94" s="73">
        <f t="shared" si="24"/>
        <v>0</v>
      </c>
      <c r="N94" s="73">
        <f t="shared" si="14"/>
        <v>0</v>
      </c>
      <c r="O94" s="73"/>
      <c r="P94" s="73"/>
      <c r="Q94" s="73"/>
      <c r="R94" s="73">
        <f t="shared" si="15"/>
        <v>0</v>
      </c>
      <c r="S94" s="73"/>
      <c r="T94" s="73"/>
      <c r="U94" s="73"/>
      <c r="V94" s="73"/>
      <c r="W94" s="73"/>
      <c r="X94" s="73"/>
      <c r="Y94" s="65"/>
      <c r="Z94" s="65"/>
      <c r="AA94" s="70">
        <v>46042</v>
      </c>
      <c r="AB94" s="71" t="s">
        <v>80</v>
      </c>
      <c r="AC94" s="72" t="s">
        <v>286</v>
      </c>
      <c r="AD94" s="73"/>
      <c r="AE94" s="69">
        <f t="shared" si="16"/>
        <v>0</v>
      </c>
      <c r="AF94" s="69">
        <f t="shared" si="21"/>
        <v>4020517.3999999985</v>
      </c>
      <c r="AG94" s="1"/>
      <c r="AH94" s="6"/>
      <c r="AI94" s="4"/>
      <c r="AJ94" s="77">
        <v>46042</v>
      </c>
      <c r="AK94" s="78">
        <v>0.375</v>
      </c>
      <c r="AL94" s="77">
        <v>46042</v>
      </c>
      <c r="AM94" s="78">
        <v>0.5</v>
      </c>
      <c r="AN94" s="14" t="str">
        <f t="shared" si="22"/>
        <v>3:00</v>
      </c>
      <c r="AO94" s="14">
        <f t="shared" si="25"/>
        <v>1.5625E-2</v>
      </c>
      <c r="AP94" s="4"/>
      <c r="AQ94" s="34" t="s">
        <v>102</v>
      </c>
      <c r="AR94" s="73">
        <v>3900</v>
      </c>
      <c r="AS94" s="34"/>
      <c r="AT94" s="34"/>
      <c r="AU94" s="34"/>
      <c r="AV94" s="34"/>
      <c r="AW94" s="34"/>
      <c r="AX94" s="4"/>
    </row>
    <row r="95" spans="1:50" x14ac:dyDescent="0.3">
      <c r="A95" s="75" t="s">
        <v>80</v>
      </c>
      <c r="B95" s="64" t="s">
        <v>287</v>
      </c>
      <c r="C95" s="65" t="s">
        <v>226</v>
      </c>
      <c r="D95" s="69" t="s">
        <v>168</v>
      </c>
      <c r="E95" s="73">
        <f>199886.31+188208.94</f>
        <v>388095.25</v>
      </c>
      <c r="F95" s="65" t="s">
        <v>288</v>
      </c>
      <c r="G95" s="68" t="s">
        <v>79</v>
      </c>
      <c r="H95" s="73"/>
      <c r="I95" s="73"/>
      <c r="J95" s="73"/>
      <c r="K95" s="73"/>
      <c r="L95" s="73"/>
      <c r="M95" s="73">
        <f t="shared" si="24"/>
        <v>0</v>
      </c>
      <c r="N95" s="73">
        <f t="shared" si="14"/>
        <v>0</v>
      </c>
      <c r="O95" s="73"/>
      <c r="P95" s="73"/>
      <c r="Q95" s="73"/>
      <c r="R95" s="73">
        <f t="shared" si="15"/>
        <v>0</v>
      </c>
      <c r="S95" s="73"/>
      <c r="T95" s="73">
        <v>270415.08</v>
      </c>
      <c r="U95" s="73"/>
      <c r="V95" s="73"/>
      <c r="W95" s="73"/>
      <c r="X95" s="73"/>
      <c r="Y95" s="73">
        <v>270415.08</v>
      </c>
      <c r="Z95" s="73">
        <f>266515.08+3900</f>
        <v>270415.08</v>
      </c>
      <c r="AA95" s="70">
        <v>46042</v>
      </c>
      <c r="AB95" s="71" t="s">
        <v>80</v>
      </c>
      <c r="AC95" s="72" t="s">
        <v>289</v>
      </c>
      <c r="AD95" s="73"/>
      <c r="AE95" s="69">
        <f t="shared" si="16"/>
        <v>270415.08</v>
      </c>
      <c r="AF95" s="69">
        <f t="shared" si="21"/>
        <v>3750102.3199999984</v>
      </c>
      <c r="AG95" s="1" t="s">
        <v>290</v>
      </c>
      <c r="AH95" s="6"/>
      <c r="AI95" s="4"/>
      <c r="AJ95" s="77">
        <v>46042</v>
      </c>
      <c r="AK95" s="78">
        <v>0.41666666666666669</v>
      </c>
      <c r="AL95" s="77">
        <v>46042</v>
      </c>
      <c r="AM95" s="78">
        <v>0.5</v>
      </c>
      <c r="AN95" s="14" t="str">
        <f t="shared" si="22"/>
        <v>2:00</v>
      </c>
      <c r="AO95" s="14">
        <f t="shared" si="25"/>
        <v>1.0416666666666666E-2</v>
      </c>
      <c r="AP95" s="4"/>
      <c r="AQ95" s="34" t="s">
        <v>102</v>
      </c>
      <c r="AR95" s="94">
        <f t="shared" ref="AR95:AR97" si="26">+E95+Z95</f>
        <v>658510.33000000007</v>
      </c>
      <c r="AS95" s="34"/>
      <c r="AT95" s="34"/>
      <c r="AU95" s="34"/>
      <c r="AV95" s="34"/>
      <c r="AW95" s="34"/>
      <c r="AX95" s="4"/>
    </row>
    <row r="96" spans="1:50" x14ac:dyDescent="0.3">
      <c r="A96" s="75" t="s">
        <v>80</v>
      </c>
      <c r="B96" s="64" t="s">
        <v>291</v>
      </c>
      <c r="C96" s="65" t="s">
        <v>279</v>
      </c>
      <c r="D96" s="69" t="s">
        <v>168</v>
      </c>
      <c r="E96" s="73">
        <f>54434.3+64000</f>
        <v>118434.3</v>
      </c>
      <c r="F96" s="65" t="s">
        <v>292</v>
      </c>
      <c r="G96" s="68" t="s">
        <v>79</v>
      </c>
      <c r="H96" s="73"/>
      <c r="I96" s="73"/>
      <c r="J96" s="73"/>
      <c r="K96" s="73"/>
      <c r="L96" s="73"/>
      <c r="M96" s="73">
        <f t="shared" si="24"/>
        <v>0</v>
      </c>
      <c r="N96" s="73">
        <f t="shared" si="14"/>
        <v>0</v>
      </c>
      <c r="O96" s="73"/>
      <c r="P96" s="73"/>
      <c r="Q96" s="73"/>
      <c r="R96" s="73">
        <f t="shared" si="15"/>
        <v>0</v>
      </c>
      <c r="S96" s="73"/>
      <c r="T96" s="73">
        <v>7800</v>
      </c>
      <c r="U96" s="73"/>
      <c r="V96" s="73"/>
      <c r="W96" s="73"/>
      <c r="X96" s="73"/>
      <c r="Y96" s="73">
        <v>7800</v>
      </c>
      <c r="Z96" s="73">
        <v>7800</v>
      </c>
      <c r="AA96" s="70">
        <v>46042</v>
      </c>
      <c r="AB96" s="71" t="s">
        <v>80</v>
      </c>
      <c r="AC96" s="72" t="s">
        <v>293</v>
      </c>
      <c r="AD96" s="73"/>
      <c r="AE96" s="69">
        <f t="shared" si="16"/>
        <v>7800</v>
      </c>
      <c r="AF96" s="69">
        <f t="shared" si="21"/>
        <v>3742302.3199999984</v>
      </c>
      <c r="AG96" s="1">
        <v>20201030</v>
      </c>
      <c r="AH96" s="6"/>
      <c r="AI96" s="4"/>
      <c r="AJ96" s="77">
        <v>46042</v>
      </c>
      <c r="AK96" s="78">
        <v>0.41666666666666669</v>
      </c>
      <c r="AL96" s="77">
        <v>46042</v>
      </c>
      <c r="AM96" s="78">
        <v>0.5</v>
      </c>
      <c r="AN96" s="14" t="str">
        <f t="shared" si="22"/>
        <v>2:00</v>
      </c>
      <c r="AO96" s="14">
        <f t="shared" si="25"/>
        <v>1.0416666666666666E-2</v>
      </c>
      <c r="AP96" s="4"/>
      <c r="AQ96" s="34" t="s">
        <v>102</v>
      </c>
      <c r="AR96" s="94">
        <f t="shared" si="26"/>
        <v>126234.3</v>
      </c>
      <c r="AS96" s="34"/>
      <c r="AT96" s="34"/>
      <c r="AU96" s="34"/>
      <c r="AV96" s="34"/>
      <c r="AW96" s="34"/>
      <c r="AX96" s="4"/>
    </row>
    <row r="97" spans="1:50" x14ac:dyDescent="0.3">
      <c r="A97" s="75" t="s">
        <v>80</v>
      </c>
      <c r="B97" s="64" t="s">
        <v>294</v>
      </c>
      <c r="C97" s="65" t="s">
        <v>295</v>
      </c>
      <c r="D97" s="69" t="s">
        <v>168</v>
      </c>
      <c r="E97" s="73">
        <v>54012.2</v>
      </c>
      <c r="F97" s="65" t="s">
        <v>296</v>
      </c>
      <c r="G97" s="68" t="s">
        <v>79</v>
      </c>
      <c r="H97" s="73"/>
      <c r="I97" s="73"/>
      <c r="J97" s="73"/>
      <c r="K97" s="73"/>
      <c r="L97" s="73"/>
      <c r="M97" s="73">
        <f t="shared" si="24"/>
        <v>0</v>
      </c>
      <c r="N97" s="73">
        <f t="shared" si="14"/>
        <v>0</v>
      </c>
      <c r="O97" s="73"/>
      <c r="P97" s="73"/>
      <c r="Q97" s="73"/>
      <c r="R97" s="73">
        <f t="shared" si="15"/>
        <v>0</v>
      </c>
      <c r="S97" s="73"/>
      <c r="T97" s="73">
        <v>54012.3</v>
      </c>
      <c r="U97" s="73"/>
      <c r="V97" s="73"/>
      <c r="W97" s="73"/>
      <c r="X97" s="73"/>
      <c r="Y97" s="73">
        <v>54012.3</v>
      </c>
      <c r="Z97" s="73">
        <v>54012.3</v>
      </c>
      <c r="AA97" s="70">
        <v>46042</v>
      </c>
      <c r="AB97" s="71" t="s">
        <v>80</v>
      </c>
      <c r="AC97" s="72" t="s">
        <v>297</v>
      </c>
      <c r="AD97" s="73"/>
      <c r="AE97" s="69">
        <f t="shared" si="16"/>
        <v>54012.3</v>
      </c>
      <c r="AF97" s="69">
        <f t="shared" si="21"/>
        <v>3688290.0199999986</v>
      </c>
      <c r="AG97" s="1" t="s">
        <v>298</v>
      </c>
      <c r="AH97" s="6"/>
      <c r="AI97" s="4"/>
      <c r="AJ97" s="77">
        <v>46042</v>
      </c>
      <c r="AK97" s="78">
        <v>0.41666666666666669</v>
      </c>
      <c r="AL97" s="77">
        <v>46042</v>
      </c>
      <c r="AM97" s="78">
        <v>0.5</v>
      </c>
      <c r="AN97" s="14" t="str">
        <f t="shared" si="22"/>
        <v>2:00</v>
      </c>
      <c r="AO97" s="14">
        <f t="shared" si="25"/>
        <v>1.0416666666666666E-2</v>
      </c>
      <c r="AP97" s="4"/>
      <c r="AQ97" s="34" t="s">
        <v>102</v>
      </c>
      <c r="AR97" s="94">
        <f t="shared" si="26"/>
        <v>108024.5</v>
      </c>
      <c r="AS97" s="34"/>
      <c r="AT97" s="34"/>
      <c r="AU97" s="34"/>
      <c r="AV97" s="34"/>
      <c r="AW97" s="34"/>
      <c r="AX97" s="4"/>
    </row>
    <row r="98" spans="1:50" x14ac:dyDescent="0.3">
      <c r="A98" s="75" t="s">
        <v>80</v>
      </c>
      <c r="B98" s="64" t="s">
        <v>299</v>
      </c>
      <c r="C98" s="65" t="s">
        <v>300</v>
      </c>
      <c r="D98" s="69" t="s">
        <v>83</v>
      </c>
      <c r="E98" s="63" t="s">
        <v>235</v>
      </c>
      <c r="F98" s="65" t="s">
        <v>301</v>
      </c>
      <c r="G98" s="68" t="s">
        <v>79</v>
      </c>
      <c r="H98" s="73"/>
      <c r="I98" s="73"/>
      <c r="J98" s="73"/>
      <c r="K98" s="73"/>
      <c r="L98" s="73"/>
      <c r="M98" s="73">
        <f t="shared" si="24"/>
        <v>0</v>
      </c>
      <c r="N98" s="73">
        <f t="shared" si="14"/>
        <v>0</v>
      </c>
      <c r="O98" s="73"/>
      <c r="P98" s="73"/>
      <c r="Q98" s="73"/>
      <c r="R98" s="73">
        <f t="shared" si="15"/>
        <v>0</v>
      </c>
      <c r="S98" s="73"/>
      <c r="T98" s="73">
        <v>3805</v>
      </c>
      <c r="U98" s="73"/>
      <c r="V98" s="73"/>
      <c r="W98" s="73"/>
      <c r="X98" s="73"/>
      <c r="Y98" s="73">
        <v>3805</v>
      </c>
      <c r="Z98" s="73">
        <v>3805</v>
      </c>
      <c r="AA98" s="70">
        <v>46042</v>
      </c>
      <c r="AB98" s="71" t="s">
        <v>80</v>
      </c>
      <c r="AC98" s="72" t="s">
        <v>302</v>
      </c>
      <c r="AD98" s="73"/>
      <c r="AE98" s="69">
        <f t="shared" si="16"/>
        <v>3805</v>
      </c>
      <c r="AF98" s="69">
        <f t="shared" si="21"/>
        <v>3684485.0199999986</v>
      </c>
      <c r="AG98" s="1">
        <v>10101020</v>
      </c>
      <c r="AH98" s="6"/>
      <c r="AI98" s="4"/>
      <c r="AJ98" s="77">
        <v>46042</v>
      </c>
      <c r="AK98" s="78">
        <v>0.41666666666666669</v>
      </c>
      <c r="AL98" s="77">
        <v>46042</v>
      </c>
      <c r="AM98" s="78">
        <v>0.5</v>
      </c>
      <c r="AN98" s="14" t="str">
        <f t="shared" si="22"/>
        <v>2:00</v>
      </c>
      <c r="AO98" s="14">
        <f t="shared" si="25"/>
        <v>1.0416666666666666E-2</v>
      </c>
      <c r="AP98" s="4"/>
      <c r="AQ98" s="34" t="s">
        <v>102</v>
      </c>
      <c r="AR98" s="34"/>
      <c r="AS98" s="73">
        <v>3805</v>
      </c>
      <c r="AT98" s="34"/>
      <c r="AU98" s="34"/>
      <c r="AV98" s="34"/>
      <c r="AW98" s="34"/>
      <c r="AX98" s="4"/>
    </row>
    <row r="99" spans="1:50" x14ac:dyDescent="0.3">
      <c r="A99" s="79" t="s">
        <v>121</v>
      </c>
      <c r="B99" s="80" t="s">
        <v>303</v>
      </c>
      <c r="C99" s="80" t="s">
        <v>304</v>
      </c>
      <c r="D99" s="25" t="s">
        <v>124</v>
      </c>
      <c r="E99" s="81" t="s">
        <v>143</v>
      </c>
      <c r="F99" s="80" t="s">
        <v>305</v>
      </c>
      <c r="G99" s="82" t="s">
        <v>79</v>
      </c>
      <c r="H99" s="85"/>
      <c r="I99" s="84"/>
      <c r="J99" s="85"/>
      <c r="K99" s="85"/>
      <c r="L99" s="85"/>
      <c r="M99" s="85">
        <f t="shared" si="24"/>
        <v>0</v>
      </c>
      <c r="N99" s="85">
        <f t="shared" si="14"/>
        <v>0</v>
      </c>
      <c r="O99" s="85"/>
      <c r="P99" s="85"/>
      <c r="Q99" s="85"/>
      <c r="R99" s="85">
        <f t="shared" si="15"/>
        <v>0</v>
      </c>
      <c r="S99" s="85"/>
      <c r="T99" s="85">
        <v>11584.99</v>
      </c>
      <c r="U99" s="85"/>
      <c r="V99" s="85">
        <v>11584.99</v>
      </c>
      <c r="W99" s="85"/>
      <c r="X99" s="85"/>
      <c r="Y99" s="85"/>
      <c r="Z99" s="85">
        <v>11584.99</v>
      </c>
      <c r="AA99" s="95">
        <v>46042</v>
      </c>
      <c r="AB99" s="96" t="s">
        <v>121</v>
      </c>
      <c r="AC99" s="88" t="s">
        <v>306</v>
      </c>
      <c r="AD99" s="80"/>
      <c r="AE99" s="25">
        <f t="shared" si="16"/>
        <v>11584.99</v>
      </c>
      <c r="AF99" s="69">
        <f t="shared" si="21"/>
        <v>3672900.0299999984</v>
      </c>
      <c r="AG99" s="1">
        <v>50211990</v>
      </c>
      <c r="AH99" s="6"/>
      <c r="AI99" s="4"/>
      <c r="AJ99" s="77">
        <v>46042</v>
      </c>
      <c r="AK99" s="78">
        <v>0.41666666666666669</v>
      </c>
      <c r="AL99" s="77">
        <v>46042</v>
      </c>
      <c r="AM99" s="78">
        <v>0.5</v>
      </c>
      <c r="AN99" s="14" t="str">
        <f t="shared" si="22"/>
        <v>2:00</v>
      </c>
      <c r="AO99" s="14">
        <f t="shared" si="25"/>
        <v>1.0416666666666666E-2</v>
      </c>
      <c r="AP99" s="4"/>
      <c r="AQ99" s="34" t="s">
        <v>102</v>
      </c>
      <c r="AR99" s="34"/>
      <c r="AS99" s="34"/>
      <c r="AT99" s="34"/>
      <c r="AU99" s="34"/>
      <c r="AV99" s="85">
        <v>11584.99</v>
      </c>
      <c r="AW99" s="34"/>
      <c r="AX99" s="4"/>
    </row>
    <row r="100" spans="1:50" x14ac:dyDescent="0.3">
      <c r="A100" s="75" t="s">
        <v>80</v>
      </c>
      <c r="B100" s="64" t="s">
        <v>307</v>
      </c>
      <c r="C100" s="65" t="s">
        <v>308</v>
      </c>
      <c r="D100" s="69" t="s">
        <v>83</v>
      </c>
      <c r="E100" s="63" t="s">
        <v>148</v>
      </c>
      <c r="F100" s="65" t="s">
        <v>207</v>
      </c>
      <c r="G100" s="68" t="s">
        <v>79</v>
      </c>
      <c r="H100" s="73"/>
      <c r="I100" s="73"/>
      <c r="J100" s="73"/>
      <c r="K100" s="73"/>
      <c r="L100" s="73"/>
      <c r="M100" s="73">
        <f t="shared" si="24"/>
        <v>0</v>
      </c>
      <c r="N100" s="73">
        <f t="shared" si="14"/>
        <v>0</v>
      </c>
      <c r="O100" s="73"/>
      <c r="P100" s="73"/>
      <c r="Q100" s="73"/>
      <c r="R100" s="73">
        <f t="shared" si="15"/>
        <v>0</v>
      </c>
      <c r="S100" s="73"/>
      <c r="T100" s="73">
        <v>1500</v>
      </c>
      <c r="U100" s="73"/>
      <c r="V100" s="73"/>
      <c r="W100" s="73"/>
      <c r="X100" s="73"/>
      <c r="Y100" s="73">
        <v>1500</v>
      </c>
      <c r="Z100" s="73">
        <v>1500</v>
      </c>
      <c r="AA100" s="70">
        <v>46043</v>
      </c>
      <c r="AB100" s="71" t="s">
        <v>80</v>
      </c>
      <c r="AC100" s="72" t="s">
        <v>309</v>
      </c>
      <c r="AD100" s="73"/>
      <c r="AE100" s="69">
        <f t="shared" si="16"/>
        <v>1500</v>
      </c>
      <c r="AF100" s="69">
        <f t="shared" si="21"/>
        <v>3671400.0299999984</v>
      </c>
      <c r="AG100" s="1">
        <v>50205020</v>
      </c>
      <c r="AH100" s="6"/>
      <c r="AI100" s="4"/>
      <c r="AJ100" s="77">
        <v>46042</v>
      </c>
      <c r="AK100" s="78">
        <v>0.60416666666666663</v>
      </c>
      <c r="AL100" s="77">
        <v>46043</v>
      </c>
      <c r="AM100" s="78">
        <v>0.57847222222222217</v>
      </c>
      <c r="AN100" s="14">
        <f t="shared" ref="AN100:AN103" si="27">+TEXT($AR$3-AK100,"h:mm")+TEXT(AM100-$AR$2,"h:mm")</f>
        <v>0.34930555555555554</v>
      </c>
      <c r="AO100" s="14">
        <f t="shared" ref="AO100:AO103" si="28">+AN100/4</f>
        <v>8.7326388888888884E-2</v>
      </c>
      <c r="AP100" s="4" t="s">
        <v>310</v>
      </c>
      <c r="AQ100" s="34" t="s">
        <v>102</v>
      </c>
      <c r="AR100" s="34"/>
      <c r="AS100" s="73">
        <v>1500</v>
      </c>
      <c r="AT100" s="34"/>
      <c r="AU100" s="34"/>
      <c r="AV100" s="34"/>
      <c r="AW100" s="34"/>
      <c r="AX100" s="4"/>
    </row>
    <row r="101" spans="1:50" x14ac:dyDescent="0.3">
      <c r="A101" s="75" t="s">
        <v>80</v>
      </c>
      <c r="B101" s="64" t="s">
        <v>311</v>
      </c>
      <c r="C101" s="65" t="s">
        <v>312</v>
      </c>
      <c r="D101" s="69" t="s">
        <v>83</v>
      </c>
      <c r="E101" s="63" t="s">
        <v>84</v>
      </c>
      <c r="F101" s="65" t="s">
        <v>313</v>
      </c>
      <c r="G101" s="68" t="s">
        <v>79</v>
      </c>
      <c r="H101" s="73"/>
      <c r="I101" s="73">
        <v>33.909999999999997</v>
      </c>
      <c r="J101" s="73">
        <v>84.78</v>
      </c>
      <c r="K101" s="73"/>
      <c r="L101" s="73"/>
      <c r="M101" s="73">
        <f t="shared" si="24"/>
        <v>0</v>
      </c>
      <c r="N101" s="73">
        <f t="shared" si="14"/>
        <v>118.69</v>
      </c>
      <c r="O101" s="73"/>
      <c r="P101" s="73"/>
      <c r="Q101" s="73"/>
      <c r="R101" s="73">
        <f t="shared" si="15"/>
        <v>118.69</v>
      </c>
      <c r="S101" s="73"/>
      <c r="T101" s="73">
        <v>1899</v>
      </c>
      <c r="U101" s="73"/>
      <c r="V101" s="73"/>
      <c r="W101" s="73"/>
      <c r="X101" s="73"/>
      <c r="Y101" s="73">
        <v>1899</v>
      </c>
      <c r="Z101" s="73">
        <v>1780.31</v>
      </c>
      <c r="AA101" s="70">
        <v>46043</v>
      </c>
      <c r="AB101" s="71" t="s">
        <v>80</v>
      </c>
      <c r="AC101" s="72" t="s">
        <v>314</v>
      </c>
      <c r="AD101" s="73"/>
      <c r="AE101" s="69">
        <f t="shared" si="16"/>
        <v>1780.31</v>
      </c>
      <c r="AF101" s="69">
        <f t="shared" si="21"/>
        <v>3669619.7199999983</v>
      </c>
      <c r="AG101" s="1">
        <v>50205020</v>
      </c>
      <c r="AH101" s="6"/>
      <c r="AI101" s="4"/>
      <c r="AJ101" s="77">
        <v>46042</v>
      </c>
      <c r="AK101" s="78">
        <v>0.60416666666666663</v>
      </c>
      <c r="AL101" s="77">
        <v>46043</v>
      </c>
      <c r="AM101" s="78">
        <v>0.57847222222222217</v>
      </c>
      <c r="AN101" s="14">
        <f t="shared" si="27"/>
        <v>0.34930555555555554</v>
      </c>
      <c r="AO101" s="14">
        <f t="shared" si="28"/>
        <v>8.7326388888888884E-2</v>
      </c>
      <c r="AP101" s="4" t="s">
        <v>310</v>
      </c>
      <c r="AQ101" s="34" t="s">
        <v>87</v>
      </c>
      <c r="AR101" s="34"/>
      <c r="AS101" s="73">
        <v>1780.31</v>
      </c>
      <c r="AT101" s="34"/>
      <c r="AU101" s="34"/>
      <c r="AV101" s="34"/>
      <c r="AW101" s="34"/>
      <c r="AX101" s="4"/>
    </row>
    <row r="102" spans="1:50" x14ac:dyDescent="0.3">
      <c r="A102" s="75" t="s">
        <v>80</v>
      </c>
      <c r="B102" s="64" t="s">
        <v>315</v>
      </c>
      <c r="C102" s="75" t="s">
        <v>312</v>
      </c>
      <c r="D102" s="69" t="s">
        <v>83</v>
      </c>
      <c r="E102" s="63" t="s">
        <v>84</v>
      </c>
      <c r="F102" s="65" t="s">
        <v>316</v>
      </c>
      <c r="G102" s="68" t="s">
        <v>79</v>
      </c>
      <c r="H102" s="73"/>
      <c r="I102" s="73">
        <v>33.909999999999997</v>
      </c>
      <c r="J102" s="73">
        <v>84.78</v>
      </c>
      <c r="K102" s="73"/>
      <c r="L102" s="73"/>
      <c r="M102" s="73">
        <f t="shared" si="24"/>
        <v>0</v>
      </c>
      <c r="N102" s="73">
        <f t="shared" si="14"/>
        <v>118.69</v>
      </c>
      <c r="O102" s="73"/>
      <c r="P102" s="73"/>
      <c r="Q102" s="73"/>
      <c r="R102" s="73">
        <f t="shared" si="15"/>
        <v>118.69</v>
      </c>
      <c r="S102" s="73"/>
      <c r="T102" s="73">
        <v>1899</v>
      </c>
      <c r="U102" s="73"/>
      <c r="V102" s="73"/>
      <c r="W102" s="73"/>
      <c r="X102" s="73"/>
      <c r="Y102" s="73">
        <v>1899</v>
      </c>
      <c r="Z102" s="73">
        <v>1780.31</v>
      </c>
      <c r="AA102" s="70">
        <v>46043</v>
      </c>
      <c r="AB102" s="71" t="s">
        <v>80</v>
      </c>
      <c r="AC102" s="72" t="s">
        <v>317</v>
      </c>
      <c r="AD102" s="73"/>
      <c r="AE102" s="69">
        <f t="shared" si="16"/>
        <v>1780.31</v>
      </c>
      <c r="AF102" s="69">
        <f t="shared" si="21"/>
        <v>3667839.4099999983</v>
      </c>
      <c r="AG102" s="1">
        <v>50205020</v>
      </c>
      <c r="AH102" s="6"/>
      <c r="AI102" s="4"/>
      <c r="AJ102" s="77">
        <v>46042</v>
      </c>
      <c r="AK102" s="78">
        <v>0.60416666666666663</v>
      </c>
      <c r="AL102" s="77">
        <v>46043</v>
      </c>
      <c r="AM102" s="78">
        <v>0.57847222222222217</v>
      </c>
      <c r="AN102" s="14">
        <f t="shared" si="27"/>
        <v>0.34930555555555554</v>
      </c>
      <c r="AO102" s="14">
        <f t="shared" si="28"/>
        <v>8.7326388888888884E-2</v>
      </c>
      <c r="AP102" s="4" t="s">
        <v>310</v>
      </c>
      <c r="AQ102" s="34" t="s">
        <v>87</v>
      </c>
      <c r="AR102" s="34"/>
      <c r="AS102" s="73">
        <v>1780.31</v>
      </c>
      <c r="AT102" s="34"/>
      <c r="AU102" s="34"/>
      <c r="AV102" s="34"/>
      <c r="AW102" s="34"/>
      <c r="AX102" s="4"/>
    </row>
    <row r="103" spans="1:50" x14ac:dyDescent="0.3">
      <c r="A103" s="75" t="s">
        <v>80</v>
      </c>
      <c r="B103" s="64" t="s">
        <v>318</v>
      </c>
      <c r="C103" s="65" t="s">
        <v>312</v>
      </c>
      <c r="D103" s="69" t="s">
        <v>83</v>
      </c>
      <c r="E103" s="63" t="s">
        <v>84</v>
      </c>
      <c r="F103" s="65" t="s">
        <v>319</v>
      </c>
      <c r="G103" s="68" t="s">
        <v>79</v>
      </c>
      <c r="H103" s="73"/>
      <c r="I103" s="73">
        <v>33.909999999999997</v>
      </c>
      <c r="J103" s="73">
        <v>84.78</v>
      </c>
      <c r="K103" s="73"/>
      <c r="L103" s="73"/>
      <c r="M103" s="73">
        <f t="shared" si="24"/>
        <v>0</v>
      </c>
      <c r="N103" s="73">
        <f t="shared" si="14"/>
        <v>118.69</v>
      </c>
      <c r="O103" s="73"/>
      <c r="P103" s="73"/>
      <c r="Q103" s="73"/>
      <c r="R103" s="73">
        <f t="shared" si="15"/>
        <v>118.69</v>
      </c>
      <c r="S103" s="73"/>
      <c r="T103" s="73">
        <v>1899</v>
      </c>
      <c r="U103" s="73"/>
      <c r="V103" s="73"/>
      <c r="W103" s="73"/>
      <c r="X103" s="73"/>
      <c r="Y103" s="73">
        <v>1899</v>
      </c>
      <c r="Z103" s="73">
        <v>1780.31</v>
      </c>
      <c r="AA103" s="70">
        <v>46043</v>
      </c>
      <c r="AB103" s="71" t="s">
        <v>80</v>
      </c>
      <c r="AC103" s="72" t="s">
        <v>320</v>
      </c>
      <c r="AD103" s="73"/>
      <c r="AE103" s="69">
        <f t="shared" si="16"/>
        <v>1780.31</v>
      </c>
      <c r="AF103" s="69">
        <f t="shared" si="21"/>
        <v>3666059.0999999982</v>
      </c>
      <c r="AG103" s="1">
        <v>50205020</v>
      </c>
      <c r="AH103" s="6"/>
      <c r="AI103" s="4"/>
      <c r="AJ103" s="77">
        <v>46042</v>
      </c>
      <c r="AK103" s="78">
        <v>0.60416666666666663</v>
      </c>
      <c r="AL103" s="77">
        <v>46043</v>
      </c>
      <c r="AM103" s="78">
        <v>0.57847222222222217</v>
      </c>
      <c r="AN103" s="14">
        <f t="shared" si="27"/>
        <v>0.34930555555555554</v>
      </c>
      <c r="AO103" s="14">
        <f t="shared" si="28"/>
        <v>8.7326388888888884E-2</v>
      </c>
      <c r="AP103" s="4" t="s">
        <v>310</v>
      </c>
      <c r="AQ103" s="34" t="s">
        <v>87</v>
      </c>
      <c r="AR103" s="34"/>
      <c r="AS103" s="73">
        <v>1780.31</v>
      </c>
      <c r="AT103" s="34"/>
      <c r="AU103" s="34"/>
      <c r="AV103" s="34"/>
      <c r="AW103" s="34"/>
      <c r="AX103" s="4"/>
    </row>
    <row r="104" spans="1:50" x14ac:dyDescent="0.3">
      <c r="A104" s="63"/>
      <c r="B104" s="64"/>
      <c r="C104" s="65" t="s">
        <v>123</v>
      </c>
      <c r="D104" s="69" t="s">
        <v>168</v>
      </c>
      <c r="E104" s="63" t="s">
        <v>84</v>
      </c>
      <c r="F104" s="65" t="s">
        <v>321</v>
      </c>
      <c r="G104" s="68" t="s">
        <v>79</v>
      </c>
      <c r="H104" s="73"/>
      <c r="I104" s="73"/>
      <c r="J104" s="73"/>
      <c r="K104" s="73"/>
      <c r="L104" s="73"/>
      <c r="M104" s="73"/>
      <c r="N104" s="73">
        <f t="shared" si="14"/>
        <v>0</v>
      </c>
      <c r="O104" s="73"/>
      <c r="P104" s="73"/>
      <c r="Q104" s="73"/>
      <c r="R104" s="73">
        <f t="shared" si="15"/>
        <v>0</v>
      </c>
      <c r="S104" s="73"/>
      <c r="T104" s="73"/>
      <c r="U104" s="73"/>
      <c r="V104" s="73"/>
      <c r="W104" s="73"/>
      <c r="X104" s="73"/>
      <c r="Y104" s="73"/>
      <c r="Z104" s="73">
        <v>352081.87</v>
      </c>
      <c r="AA104" s="70">
        <v>46044</v>
      </c>
      <c r="AB104" s="71" t="s">
        <v>80</v>
      </c>
      <c r="AC104" s="72" t="s">
        <v>322</v>
      </c>
      <c r="AD104" s="73"/>
      <c r="AE104" s="69">
        <f t="shared" si="16"/>
        <v>0</v>
      </c>
      <c r="AF104" s="69">
        <f t="shared" si="21"/>
        <v>3666059.0999999982</v>
      </c>
      <c r="AG104" s="1">
        <v>20101020</v>
      </c>
      <c r="AH104" s="6"/>
      <c r="AI104" s="4"/>
      <c r="AJ104" s="77">
        <v>46044</v>
      </c>
      <c r="AK104" s="78">
        <v>0.39583333333333331</v>
      </c>
      <c r="AL104" s="77">
        <v>46044</v>
      </c>
      <c r="AM104" s="78">
        <v>0.62152777777777779</v>
      </c>
      <c r="AN104" s="14" t="str">
        <f t="shared" ref="AN104:AN105" si="29">+TEXT(AM104-AK104-$AH$2,"h:mm")</f>
        <v>4:25</v>
      </c>
      <c r="AO104" s="14">
        <f t="shared" ref="AO104:AO106" si="30">+AN104/3</f>
        <v>6.1342592592592594E-2</v>
      </c>
      <c r="AP104" s="4"/>
      <c r="AQ104" s="34" t="s">
        <v>102</v>
      </c>
      <c r="AR104" s="73">
        <v>352081.87</v>
      </c>
      <c r="AS104" s="34"/>
      <c r="AT104" s="34"/>
      <c r="AU104" s="34"/>
      <c r="AV104" s="34"/>
      <c r="AW104" s="34"/>
      <c r="AX104" s="4"/>
    </row>
    <row r="105" spans="1:50" x14ac:dyDescent="0.3">
      <c r="A105" s="63"/>
      <c r="B105" s="64"/>
      <c r="C105" s="65" t="s">
        <v>123</v>
      </c>
      <c r="D105" s="69" t="s">
        <v>168</v>
      </c>
      <c r="E105" s="63" t="s">
        <v>84</v>
      </c>
      <c r="F105" s="65" t="s">
        <v>323</v>
      </c>
      <c r="G105" s="68" t="s">
        <v>79</v>
      </c>
      <c r="H105" s="73"/>
      <c r="I105" s="73"/>
      <c r="J105" s="73"/>
      <c r="K105" s="73"/>
      <c r="L105" s="73"/>
      <c r="M105" s="73"/>
      <c r="N105" s="73">
        <f t="shared" si="14"/>
        <v>0</v>
      </c>
      <c r="O105" s="73"/>
      <c r="P105" s="73"/>
      <c r="Q105" s="73"/>
      <c r="R105" s="73">
        <f t="shared" si="15"/>
        <v>0</v>
      </c>
      <c r="S105" s="73"/>
      <c r="T105" s="73"/>
      <c r="U105" s="73"/>
      <c r="V105" s="73"/>
      <c r="W105" s="73"/>
      <c r="X105" s="73"/>
      <c r="Y105" s="73"/>
      <c r="Z105" s="73">
        <v>265878.34999999998</v>
      </c>
      <c r="AA105" s="70">
        <v>46044</v>
      </c>
      <c r="AB105" s="71" t="s">
        <v>80</v>
      </c>
      <c r="AC105" s="72" t="s">
        <v>324</v>
      </c>
      <c r="AD105" s="73"/>
      <c r="AE105" s="69">
        <f t="shared" si="16"/>
        <v>0</v>
      </c>
      <c r="AF105" s="69">
        <f t="shared" si="21"/>
        <v>3666059.0999999982</v>
      </c>
      <c r="AG105" s="1">
        <v>20101020</v>
      </c>
      <c r="AH105" s="6"/>
      <c r="AI105" s="4"/>
      <c r="AJ105" s="77">
        <v>46044</v>
      </c>
      <c r="AK105" s="78">
        <v>0.39583333333333331</v>
      </c>
      <c r="AL105" s="77">
        <v>46044</v>
      </c>
      <c r="AM105" s="78">
        <v>0.62152777777777779</v>
      </c>
      <c r="AN105" s="14" t="str">
        <f t="shared" si="29"/>
        <v>4:25</v>
      </c>
      <c r="AO105" s="14">
        <f t="shared" si="30"/>
        <v>6.1342592592592594E-2</v>
      </c>
      <c r="AP105" s="4"/>
      <c r="AQ105" s="34" t="s">
        <v>102</v>
      </c>
      <c r="AR105" s="73">
        <v>265878.34999999998</v>
      </c>
      <c r="AS105" s="34"/>
      <c r="AT105" s="34"/>
      <c r="AU105" s="34"/>
      <c r="AV105" s="34"/>
      <c r="AW105" s="34"/>
      <c r="AX105" s="4"/>
    </row>
    <row r="106" spans="1:50" x14ac:dyDescent="0.3">
      <c r="A106" s="75" t="s">
        <v>80</v>
      </c>
      <c r="B106" s="64" t="s">
        <v>325</v>
      </c>
      <c r="C106" s="65" t="s">
        <v>312</v>
      </c>
      <c r="D106" s="69" t="s">
        <v>83</v>
      </c>
      <c r="E106" s="63" t="s">
        <v>99</v>
      </c>
      <c r="F106" s="65" t="s">
        <v>326</v>
      </c>
      <c r="G106" s="68" t="s">
        <v>79</v>
      </c>
      <c r="H106" s="73"/>
      <c r="I106" s="73">
        <v>33.909999999999997</v>
      </c>
      <c r="J106" s="73">
        <v>84.78</v>
      </c>
      <c r="K106" s="73"/>
      <c r="L106" s="73"/>
      <c r="M106" s="73">
        <f>(T106-R106)-Z106</f>
        <v>0</v>
      </c>
      <c r="N106" s="73">
        <f t="shared" si="14"/>
        <v>118.69</v>
      </c>
      <c r="O106" s="73"/>
      <c r="P106" s="73"/>
      <c r="Q106" s="73"/>
      <c r="R106" s="73">
        <f t="shared" si="15"/>
        <v>118.69</v>
      </c>
      <c r="S106" s="73"/>
      <c r="T106" s="73">
        <v>1899</v>
      </c>
      <c r="U106" s="73"/>
      <c r="V106" s="73"/>
      <c r="W106" s="73"/>
      <c r="X106" s="73"/>
      <c r="Y106" s="73">
        <v>1899</v>
      </c>
      <c r="Z106" s="73">
        <v>1780.31</v>
      </c>
      <c r="AA106" s="70">
        <v>46044</v>
      </c>
      <c r="AB106" s="71" t="s">
        <v>80</v>
      </c>
      <c r="AC106" s="72" t="s">
        <v>327</v>
      </c>
      <c r="AD106" s="73"/>
      <c r="AE106" s="69">
        <f t="shared" si="16"/>
        <v>1780.31</v>
      </c>
      <c r="AF106" s="69">
        <f t="shared" si="21"/>
        <v>3664278.7899999982</v>
      </c>
      <c r="AG106" s="1">
        <v>50205020</v>
      </c>
      <c r="AH106" s="6"/>
      <c r="AI106" s="4"/>
      <c r="AJ106" s="77">
        <v>46044</v>
      </c>
      <c r="AK106" s="78">
        <v>0.5708333333333333</v>
      </c>
      <c r="AL106" s="77">
        <v>46044</v>
      </c>
      <c r="AM106" s="78">
        <v>0.62152777777777779</v>
      </c>
      <c r="AN106" s="14" t="str">
        <f>+TEXT(AM106-AK106,"h:mm")</f>
        <v>1:13</v>
      </c>
      <c r="AO106" s="14">
        <f t="shared" si="30"/>
        <v>1.6898148148148148E-2</v>
      </c>
      <c r="AP106" s="4"/>
      <c r="AQ106" s="34" t="s">
        <v>87</v>
      </c>
      <c r="AR106" s="34"/>
      <c r="AS106" s="73">
        <v>1780.31</v>
      </c>
      <c r="AT106" s="34"/>
      <c r="AU106" s="34"/>
      <c r="AV106" s="34"/>
      <c r="AW106" s="34"/>
      <c r="AX106" s="4"/>
    </row>
    <row r="107" spans="1:50" x14ac:dyDescent="0.3">
      <c r="A107" s="63"/>
      <c r="B107" s="64"/>
      <c r="C107" s="65" t="s">
        <v>328</v>
      </c>
      <c r="D107" s="69"/>
      <c r="E107" s="63"/>
      <c r="F107" s="65" t="s">
        <v>329</v>
      </c>
      <c r="G107" s="68" t="s">
        <v>79</v>
      </c>
      <c r="H107" s="73"/>
      <c r="I107" s="73"/>
      <c r="J107" s="73"/>
      <c r="K107" s="73"/>
      <c r="L107" s="73"/>
      <c r="M107" s="73"/>
      <c r="N107" s="73"/>
      <c r="O107" s="73"/>
      <c r="P107" s="73"/>
      <c r="Q107" s="73"/>
      <c r="R107" s="73"/>
      <c r="S107" s="73"/>
      <c r="T107" s="73"/>
      <c r="U107" s="73"/>
      <c r="V107" s="73"/>
      <c r="W107" s="73"/>
      <c r="X107" s="73"/>
      <c r="Y107" s="73"/>
      <c r="Z107" s="73"/>
      <c r="AA107" s="70">
        <v>46044</v>
      </c>
      <c r="AB107" s="71"/>
      <c r="AC107" s="72"/>
      <c r="AD107" s="73">
        <v>696400</v>
      </c>
      <c r="AE107" s="69"/>
      <c r="AF107" s="69">
        <f t="shared" si="21"/>
        <v>4360678.7899999982</v>
      </c>
      <c r="AG107" s="1"/>
      <c r="AH107" s="6"/>
      <c r="AI107" s="4"/>
      <c r="AJ107" s="77"/>
      <c r="AK107" s="78"/>
      <c r="AL107" s="77"/>
      <c r="AM107" s="78"/>
      <c r="AN107" s="14"/>
      <c r="AO107" s="14"/>
      <c r="AP107" s="4"/>
      <c r="AQ107" s="34"/>
      <c r="AR107" s="34"/>
      <c r="AS107" s="34"/>
      <c r="AT107" s="34"/>
      <c r="AU107" s="34"/>
      <c r="AV107" s="34"/>
      <c r="AW107" s="34"/>
      <c r="AX107" s="4"/>
    </row>
    <row r="108" spans="1:50" x14ac:dyDescent="0.3">
      <c r="A108" s="63"/>
      <c r="B108" s="64"/>
      <c r="C108" s="65" t="s">
        <v>330</v>
      </c>
      <c r="D108" s="69"/>
      <c r="E108" s="63"/>
      <c r="F108" s="65" t="s">
        <v>331</v>
      </c>
      <c r="G108" s="68" t="s">
        <v>79</v>
      </c>
      <c r="H108" s="73"/>
      <c r="I108" s="73"/>
      <c r="J108" s="73"/>
      <c r="K108" s="73"/>
      <c r="L108" s="73"/>
      <c r="M108" s="73"/>
      <c r="N108" s="73"/>
      <c r="O108" s="73"/>
      <c r="P108" s="73"/>
      <c r="Q108" s="73"/>
      <c r="R108" s="73"/>
      <c r="S108" s="73"/>
      <c r="T108" s="73"/>
      <c r="U108" s="73"/>
      <c r="V108" s="73"/>
      <c r="W108" s="73"/>
      <c r="X108" s="73"/>
      <c r="Y108" s="73"/>
      <c r="Z108" s="73"/>
      <c r="AA108" s="70">
        <v>46046</v>
      </c>
      <c r="AB108" s="71"/>
      <c r="AC108" s="72"/>
      <c r="AD108" s="73">
        <v>2254942</v>
      </c>
      <c r="AE108" s="69"/>
      <c r="AF108" s="69">
        <f t="shared" si="21"/>
        <v>6615620.7899999982</v>
      </c>
      <c r="AG108" s="1"/>
      <c r="AH108" s="6"/>
      <c r="AI108" s="4"/>
      <c r="AJ108" s="77"/>
      <c r="AK108" s="78"/>
      <c r="AL108" s="77"/>
      <c r="AM108" s="78"/>
      <c r="AN108" s="14"/>
      <c r="AO108" s="14"/>
      <c r="AP108" s="4"/>
      <c r="AQ108" s="34"/>
      <c r="AR108" s="34"/>
      <c r="AS108" s="34"/>
      <c r="AT108" s="34"/>
      <c r="AU108" s="34"/>
      <c r="AV108" s="34"/>
      <c r="AW108" s="34"/>
      <c r="AX108" s="4"/>
    </row>
    <row r="109" spans="1:50" x14ac:dyDescent="0.3">
      <c r="A109" s="75" t="s">
        <v>80</v>
      </c>
      <c r="B109" s="64" t="s">
        <v>332</v>
      </c>
      <c r="C109" s="65" t="s">
        <v>82</v>
      </c>
      <c r="D109" s="69" t="s">
        <v>83</v>
      </c>
      <c r="E109" s="63" t="s">
        <v>84</v>
      </c>
      <c r="F109" s="65" t="s">
        <v>333</v>
      </c>
      <c r="G109" s="68" t="s">
        <v>79</v>
      </c>
      <c r="H109" s="73"/>
      <c r="I109" s="73"/>
      <c r="J109" s="73">
        <v>3188.01</v>
      </c>
      <c r="K109" s="73"/>
      <c r="L109" s="73"/>
      <c r="M109" s="73">
        <f t="shared" ref="M109:M121" si="31">(T109-R109)-Z109</f>
        <v>0</v>
      </c>
      <c r="N109" s="73">
        <f t="shared" ref="N109:N121" si="32">SUM(H109:L109)</f>
        <v>3188.01</v>
      </c>
      <c r="O109" s="73"/>
      <c r="P109" s="73"/>
      <c r="Q109" s="73"/>
      <c r="R109" s="73">
        <f t="shared" ref="R109:R121" si="33">+N109+SUM(O109:Q109)</f>
        <v>3188.01</v>
      </c>
      <c r="S109" s="73"/>
      <c r="T109" s="73">
        <v>116123.08</v>
      </c>
      <c r="U109" s="73"/>
      <c r="V109" s="73"/>
      <c r="W109" s="73"/>
      <c r="X109" s="73"/>
      <c r="Y109" s="73">
        <v>116123.08</v>
      </c>
      <c r="Z109" s="73">
        <v>112935.07</v>
      </c>
      <c r="AA109" s="70">
        <v>46049</v>
      </c>
      <c r="AB109" s="71" t="s">
        <v>80</v>
      </c>
      <c r="AC109" s="72" t="s">
        <v>334</v>
      </c>
      <c r="AD109" s="73"/>
      <c r="AE109" s="69">
        <f t="shared" ref="AE109:AE121" si="34">T109-N109</f>
        <v>112935.07</v>
      </c>
      <c r="AF109" s="69">
        <f t="shared" si="21"/>
        <v>6502685.7199999979</v>
      </c>
      <c r="AG109" s="1">
        <v>50204020</v>
      </c>
      <c r="AH109" s="6"/>
      <c r="AI109" s="4"/>
      <c r="AJ109" s="77">
        <v>46049</v>
      </c>
      <c r="AK109" s="78">
        <v>0.43402777777777773</v>
      </c>
      <c r="AL109" s="77">
        <v>46049</v>
      </c>
      <c r="AM109" s="78">
        <v>0.57430555555555551</v>
      </c>
      <c r="AN109" s="14" t="str">
        <f t="shared" ref="AN109:AN119" si="35">+TEXT(AM109-AK109-$AH$2,"h:mm")</f>
        <v>2:22</v>
      </c>
      <c r="AO109" s="14">
        <f t="shared" ref="AO109:AO112" si="36">+AN109/4</f>
        <v>2.4652777777777777E-2</v>
      </c>
      <c r="AP109" s="4"/>
      <c r="AQ109" s="34" t="s">
        <v>87</v>
      </c>
      <c r="AR109" s="34"/>
      <c r="AS109" s="73">
        <v>112935.07</v>
      </c>
      <c r="AT109" s="34"/>
      <c r="AU109" s="34"/>
      <c r="AV109" s="34"/>
      <c r="AW109" s="34"/>
      <c r="AX109" s="4"/>
    </row>
    <row r="110" spans="1:50" x14ac:dyDescent="0.3">
      <c r="A110" s="75" t="s">
        <v>80</v>
      </c>
      <c r="B110" s="64" t="s">
        <v>335</v>
      </c>
      <c r="C110" s="65" t="s">
        <v>258</v>
      </c>
      <c r="D110" s="69" t="s">
        <v>83</v>
      </c>
      <c r="E110" s="63" t="s">
        <v>84</v>
      </c>
      <c r="F110" s="65" t="s">
        <v>207</v>
      </c>
      <c r="G110" s="68" t="s">
        <v>79</v>
      </c>
      <c r="H110" s="73"/>
      <c r="I110" s="73"/>
      <c r="J110" s="73"/>
      <c r="K110" s="73"/>
      <c r="L110" s="73"/>
      <c r="M110" s="73">
        <f t="shared" si="31"/>
        <v>0</v>
      </c>
      <c r="N110" s="73">
        <f t="shared" si="32"/>
        <v>0</v>
      </c>
      <c r="O110" s="73"/>
      <c r="P110" s="73"/>
      <c r="Q110" s="73"/>
      <c r="R110" s="73">
        <f t="shared" si="33"/>
        <v>0</v>
      </c>
      <c r="S110" s="73"/>
      <c r="T110" s="73">
        <v>600</v>
      </c>
      <c r="U110" s="73"/>
      <c r="V110" s="73"/>
      <c r="W110" s="73"/>
      <c r="X110" s="73"/>
      <c r="Y110" s="73">
        <v>600</v>
      </c>
      <c r="Z110" s="73">
        <v>600</v>
      </c>
      <c r="AA110" s="70">
        <v>46049</v>
      </c>
      <c r="AB110" s="71" t="s">
        <v>80</v>
      </c>
      <c r="AC110" s="72" t="s">
        <v>336</v>
      </c>
      <c r="AD110" s="73"/>
      <c r="AE110" s="69">
        <f t="shared" si="34"/>
        <v>600</v>
      </c>
      <c r="AF110" s="69">
        <f t="shared" si="21"/>
        <v>6502085.7199999979</v>
      </c>
      <c r="AG110" s="1">
        <v>50205020</v>
      </c>
      <c r="AH110" s="6"/>
      <c r="AI110" s="4"/>
      <c r="AJ110" s="77">
        <v>46049</v>
      </c>
      <c r="AK110" s="78">
        <v>0.43402777777777773</v>
      </c>
      <c r="AL110" s="77">
        <v>46049</v>
      </c>
      <c r="AM110" s="78">
        <v>0.57430555555555551</v>
      </c>
      <c r="AN110" s="14" t="str">
        <f t="shared" si="35"/>
        <v>2:22</v>
      </c>
      <c r="AO110" s="14">
        <f t="shared" si="36"/>
        <v>2.4652777777777777E-2</v>
      </c>
      <c r="AP110" s="4"/>
      <c r="AQ110" s="34" t="s">
        <v>102</v>
      </c>
      <c r="AR110" s="34"/>
      <c r="AS110" s="73">
        <v>600</v>
      </c>
      <c r="AT110" s="34"/>
      <c r="AU110" s="34"/>
      <c r="AV110" s="34"/>
      <c r="AW110" s="34"/>
      <c r="AX110" s="4"/>
    </row>
    <row r="111" spans="1:50" x14ac:dyDescent="0.3">
      <c r="A111" s="75" t="s">
        <v>80</v>
      </c>
      <c r="B111" s="64" t="s">
        <v>337</v>
      </c>
      <c r="C111" s="65" t="s">
        <v>338</v>
      </c>
      <c r="D111" s="69" t="s">
        <v>83</v>
      </c>
      <c r="E111" s="63" t="s">
        <v>84</v>
      </c>
      <c r="F111" s="65" t="s">
        <v>339</v>
      </c>
      <c r="G111" s="68" t="s">
        <v>79</v>
      </c>
      <c r="H111" s="73"/>
      <c r="I111" s="73"/>
      <c r="J111" s="73"/>
      <c r="K111" s="73"/>
      <c r="L111" s="73"/>
      <c r="M111" s="73">
        <f t="shared" si="31"/>
        <v>0</v>
      </c>
      <c r="N111" s="73">
        <f t="shared" si="32"/>
        <v>0</v>
      </c>
      <c r="O111" s="73"/>
      <c r="P111" s="73"/>
      <c r="Q111" s="73"/>
      <c r="R111" s="73">
        <f t="shared" si="33"/>
        <v>0</v>
      </c>
      <c r="S111" s="73"/>
      <c r="T111" s="73">
        <v>2570</v>
      </c>
      <c r="U111" s="73"/>
      <c r="V111" s="73"/>
      <c r="W111" s="73"/>
      <c r="X111" s="73"/>
      <c r="Y111" s="73">
        <v>2570</v>
      </c>
      <c r="Z111" s="73">
        <v>2570</v>
      </c>
      <c r="AA111" s="70">
        <v>46049</v>
      </c>
      <c r="AB111" s="71" t="s">
        <v>80</v>
      </c>
      <c r="AC111" s="72" t="s">
        <v>340</v>
      </c>
      <c r="AD111" s="73"/>
      <c r="AE111" s="69">
        <f t="shared" si="34"/>
        <v>2570</v>
      </c>
      <c r="AF111" s="69">
        <f t="shared" si="21"/>
        <v>6499515.7199999979</v>
      </c>
      <c r="AG111" s="1">
        <v>50215010</v>
      </c>
      <c r="AH111" s="6"/>
      <c r="AI111" s="4"/>
      <c r="AJ111" s="77">
        <v>46049</v>
      </c>
      <c r="AK111" s="78">
        <v>0.43402777777777773</v>
      </c>
      <c r="AL111" s="77">
        <v>46049</v>
      </c>
      <c r="AM111" s="78">
        <v>0.57430555555555551</v>
      </c>
      <c r="AN111" s="14" t="str">
        <f t="shared" si="35"/>
        <v>2:22</v>
      </c>
      <c r="AO111" s="14">
        <f t="shared" si="36"/>
        <v>2.4652777777777777E-2</v>
      </c>
      <c r="AP111" s="4"/>
      <c r="AQ111" s="34" t="s">
        <v>87</v>
      </c>
      <c r="AR111" s="34"/>
      <c r="AS111" s="73">
        <v>2570</v>
      </c>
      <c r="AT111" s="34"/>
      <c r="AU111" s="34"/>
      <c r="AV111" s="34"/>
      <c r="AW111" s="34"/>
      <c r="AX111" s="4"/>
    </row>
    <row r="112" spans="1:50" x14ac:dyDescent="0.3">
      <c r="A112" s="75" t="s">
        <v>80</v>
      </c>
      <c r="B112" s="64" t="s">
        <v>341</v>
      </c>
      <c r="C112" s="65" t="s">
        <v>270</v>
      </c>
      <c r="D112" s="69" t="s">
        <v>83</v>
      </c>
      <c r="E112" s="63" t="s">
        <v>105</v>
      </c>
      <c r="F112" s="65" t="s">
        <v>271</v>
      </c>
      <c r="G112" s="68" t="s">
        <v>79</v>
      </c>
      <c r="H112" s="73"/>
      <c r="I112" s="73"/>
      <c r="J112" s="73"/>
      <c r="K112" s="73"/>
      <c r="L112" s="73"/>
      <c r="M112" s="73">
        <f t="shared" si="31"/>
        <v>0</v>
      </c>
      <c r="N112" s="73">
        <f t="shared" si="32"/>
        <v>0</v>
      </c>
      <c r="O112" s="73"/>
      <c r="P112" s="73"/>
      <c r="Q112" s="73"/>
      <c r="R112" s="73">
        <f t="shared" si="33"/>
        <v>0</v>
      </c>
      <c r="S112" s="73"/>
      <c r="T112" s="73">
        <v>2761.25</v>
      </c>
      <c r="U112" s="73"/>
      <c r="V112" s="73"/>
      <c r="W112" s="73"/>
      <c r="X112" s="73"/>
      <c r="Y112" s="73">
        <v>2761.25</v>
      </c>
      <c r="Z112" s="73">
        <v>2761.25</v>
      </c>
      <c r="AA112" s="70">
        <v>46049</v>
      </c>
      <c r="AB112" s="71" t="s">
        <v>80</v>
      </c>
      <c r="AC112" s="72" t="s">
        <v>342</v>
      </c>
      <c r="AD112" s="73"/>
      <c r="AE112" s="69">
        <f t="shared" si="34"/>
        <v>2761.25</v>
      </c>
      <c r="AF112" s="69">
        <f t="shared" si="21"/>
        <v>6496754.4699999979</v>
      </c>
      <c r="AG112" s="1"/>
      <c r="AH112" s="6"/>
      <c r="AI112" s="4"/>
      <c r="AJ112" s="77">
        <v>46049</v>
      </c>
      <c r="AK112" s="78">
        <v>0.43402777777777773</v>
      </c>
      <c r="AL112" s="77">
        <v>46049</v>
      </c>
      <c r="AM112" s="78">
        <v>0.57430555555555551</v>
      </c>
      <c r="AN112" s="14" t="str">
        <f t="shared" si="35"/>
        <v>2:22</v>
      </c>
      <c r="AO112" s="14">
        <f t="shared" si="36"/>
        <v>2.4652777777777777E-2</v>
      </c>
      <c r="AP112" s="4"/>
      <c r="AQ112" s="34" t="s">
        <v>102</v>
      </c>
      <c r="AR112" s="34"/>
      <c r="AS112" s="73">
        <v>2761.25</v>
      </c>
      <c r="AT112" s="34"/>
      <c r="AU112" s="34"/>
      <c r="AV112" s="34"/>
      <c r="AW112" s="34"/>
      <c r="AX112" s="4"/>
    </row>
    <row r="113" spans="1:50" x14ac:dyDescent="0.3">
      <c r="A113" s="75" t="s">
        <v>80</v>
      </c>
      <c r="B113" s="64" t="s">
        <v>343</v>
      </c>
      <c r="C113" s="65" t="s">
        <v>344</v>
      </c>
      <c r="D113" s="69" t="s">
        <v>83</v>
      </c>
      <c r="E113" s="63" t="s">
        <v>154</v>
      </c>
      <c r="F113" s="65" t="s">
        <v>345</v>
      </c>
      <c r="G113" s="68" t="s">
        <v>79</v>
      </c>
      <c r="H113" s="73"/>
      <c r="I113" s="73">
        <v>1400</v>
      </c>
      <c r="J113" s="73"/>
      <c r="K113" s="73">
        <v>840</v>
      </c>
      <c r="L113" s="73"/>
      <c r="M113" s="73">
        <f t="shared" si="31"/>
        <v>0</v>
      </c>
      <c r="N113" s="73">
        <f t="shared" si="32"/>
        <v>2240</v>
      </c>
      <c r="O113" s="73"/>
      <c r="P113" s="73"/>
      <c r="Q113" s="73"/>
      <c r="R113" s="73">
        <f t="shared" si="33"/>
        <v>2240</v>
      </c>
      <c r="S113" s="73"/>
      <c r="T113" s="73">
        <v>28000</v>
      </c>
      <c r="U113" s="73"/>
      <c r="V113" s="73"/>
      <c r="W113" s="73"/>
      <c r="X113" s="73"/>
      <c r="Y113" s="73">
        <v>28000</v>
      </c>
      <c r="Z113" s="73">
        <v>25760</v>
      </c>
      <c r="AA113" s="70">
        <v>46050</v>
      </c>
      <c r="AB113" s="71" t="s">
        <v>80</v>
      </c>
      <c r="AC113" s="72" t="s">
        <v>346</v>
      </c>
      <c r="AD113" s="73"/>
      <c r="AE113" s="69">
        <f t="shared" si="34"/>
        <v>25760</v>
      </c>
      <c r="AF113" s="69">
        <f t="shared" si="21"/>
        <v>6470994.4699999979</v>
      </c>
      <c r="AG113" s="1">
        <v>50299050</v>
      </c>
      <c r="AH113" s="6"/>
      <c r="AI113" s="4"/>
      <c r="AJ113" s="77">
        <v>46050</v>
      </c>
      <c r="AK113" s="78">
        <v>0.44097222222222227</v>
      </c>
      <c r="AL113" s="77">
        <v>46050</v>
      </c>
      <c r="AM113" s="78">
        <v>0.61111111111111105</v>
      </c>
      <c r="AN113" s="14" t="str">
        <f t="shared" si="35"/>
        <v>3:05</v>
      </c>
      <c r="AO113" s="14">
        <f t="shared" ref="AO113:AO119" si="37">+AN113/7</f>
        <v>1.83531746031746E-2</v>
      </c>
      <c r="AP113" s="4"/>
      <c r="AQ113" s="34" t="s">
        <v>102</v>
      </c>
      <c r="AR113" s="34"/>
      <c r="AS113" s="73">
        <v>25760</v>
      </c>
      <c r="AT113" s="34"/>
      <c r="AU113" s="34"/>
      <c r="AV113" s="34"/>
      <c r="AW113" s="34"/>
      <c r="AX113" s="4"/>
    </row>
    <row r="114" spans="1:50" x14ac:dyDescent="0.3">
      <c r="A114" s="75" t="s">
        <v>80</v>
      </c>
      <c r="B114" s="64" t="s">
        <v>347</v>
      </c>
      <c r="C114" s="65" t="s">
        <v>266</v>
      </c>
      <c r="D114" s="69" t="s">
        <v>348</v>
      </c>
      <c r="E114" s="63" t="s">
        <v>99</v>
      </c>
      <c r="F114" s="65" t="s">
        <v>349</v>
      </c>
      <c r="G114" s="68" t="s">
        <v>350</v>
      </c>
      <c r="H114" s="73"/>
      <c r="I114" s="73"/>
      <c r="J114" s="73"/>
      <c r="K114" s="73"/>
      <c r="L114" s="73"/>
      <c r="M114" s="73">
        <f t="shared" si="31"/>
        <v>0</v>
      </c>
      <c r="N114" s="73">
        <f t="shared" si="32"/>
        <v>0</v>
      </c>
      <c r="O114" s="73"/>
      <c r="P114" s="73"/>
      <c r="Q114" s="73"/>
      <c r="R114" s="73">
        <f t="shared" si="33"/>
        <v>0</v>
      </c>
      <c r="S114" s="73"/>
      <c r="T114" s="73">
        <v>16840</v>
      </c>
      <c r="U114" s="73"/>
      <c r="V114" s="73"/>
      <c r="W114" s="73"/>
      <c r="X114" s="73"/>
      <c r="Y114" s="73">
        <v>16840</v>
      </c>
      <c r="Z114" s="73">
        <v>16840</v>
      </c>
      <c r="AA114" s="70">
        <v>46050</v>
      </c>
      <c r="AB114" s="71" t="s">
        <v>80</v>
      </c>
      <c r="AC114" s="72" t="s">
        <v>351</v>
      </c>
      <c r="AD114" s="73"/>
      <c r="AE114" s="69">
        <f t="shared" si="34"/>
        <v>16840</v>
      </c>
      <c r="AF114" s="69">
        <f t="shared" si="21"/>
        <v>6454154.4699999979</v>
      </c>
      <c r="AG114" s="1">
        <v>19904040</v>
      </c>
      <c r="AH114" s="6"/>
      <c r="AI114" s="4"/>
      <c r="AJ114" s="77">
        <v>46050</v>
      </c>
      <c r="AK114" s="78">
        <v>0.44097222222222227</v>
      </c>
      <c r="AL114" s="77">
        <v>46050</v>
      </c>
      <c r="AM114" s="78">
        <v>0.61111111111111105</v>
      </c>
      <c r="AN114" s="14" t="str">
        <f t="shared" si="35"/>
        <v>3:05</v>
      </c>
      <c r="AO114" s="14">
        <f t="shared" si="37"/>
        <v>1.83531746031746E-2</v>
      </c>
      <c r="AP114" s="4"/>
      <c r="AQ114" s="34" t="s">
        <v>102</v>
      </c>
      <c r="AR114" s="34"/>
      <c r="AS114" s="73">
        <v>16840</v>
      </c>
      <c r="AT114" s="34"/>
      <c r="AU114" s="34"/>
      <c r="AV114" s="34"/>
      <c r="AW114" s="34"/>
      <c r="AX114" s="4"/>
    </row>
    <row r="115" spans="1:50" x14ac:dyDescent="0.3">
      <c r="A115" s="75" t="s">
        <v>80</v>
      </c>
      <c r="B115" s="64" t="s">
        <v>352</v>
      </c>
      <c r="C115" s="65" t="s">
        <v>203</v>
      </c>
      <c r="D115" s="69" t="s">
        <v>83</v>
      </c>
      <c r="E115" s="63" t="s">
        <v>154</v>
      </c>
      <c r="F115" s="65" t="s">
        <v>353</v>
      </c>
      <c r="G115" s="68" t="s">
        <v>79</v>
      </c>
      <c r="H115" s="73"/>
      <c r="I115" s="73"/>
      <c r="J115" s="73"/>
      <c r="K115" s="73"/>
      <c r="L115" s="73"/>
      <c r="M115" s="73">
        <f t="shared" si="31"/>
        <v>0</v>
      </c>
      <c r="N115" s="73">
        <f t="shared" si="32"/>
        <v>0</v>
      </c>
      <c r="O115" s="73"/>
      <c r="P115" s="73"/>
      <c r="Q115" s="73"/>
      <c r="R115" s="73">
        <f t="shared" si="33"/>
        <v>0</v>
      </c>
      <c r="S115" s="73"/>
      <c r="T115" s="73">
        <v>4450</v>
      </c>
      <c r="U115" s="73"/>
      <c r="V115" s="73"/>
      <c r="W115" s="73"/>
      <c r="X115" s="73"/>
      <c r="Y115" s="73">
        <v>4450</v>
      </c>
      <c r="Z115" s="73">
        <v>4450</v>
      </c>
      <c r="AA115" s="70">
        <v>46050</v>
      </c>
      <c r="AB115" s="71" t="s">
        <v>80</v>
      </c>
      <c r="AC115" s="72" t="s">
        <v>354</v>
      </c>
      <c r="AD115" s="73"/>
      <c r="AE115" s="69">
        <f t="shared" si="34"/>
        <v>4450</v>
      </c>
      <c r="AF115" s="69">
        <f t="shared" si="21"/>
        <v>6449704.4699999979</v>
      </c>
      <c r="AG115" s="1">
        <v>50201010</v>
      </c>
      <c r="AH115" s="6"/>
      <c r="AI115" s="4"/>
      <c r="AJ115" s="77">
        <v>46050</v>
      </c>
      <c r="AK115" s="78">
        <v>0.44097222222222227</v>
      </c>
      <c r="AL115" s="77">
        <v>46050</v>
      </c>
      <c r="AM115" s="78">
        <v>0.61111111111111105</v>
      </c>
      <c r="AN115" s="14" t="str">
        <f t="shared" si="35"/>
        <v>3:05</v>
      </c>
      <c r="AO115" s="14">
        <f t="shared" si="37"/>
        <v>1.83531746031746E-2</v>
      </c>
      <c r="AP115" s="4"/>
      <c r="AQ115" s="34" t="s">
        <v>102</v>
      </c>
      <c r="AR115" s="34"/>
      <c r="AS115" s="73">
        <v>4450</v>
      </c>
      <c r="AT115" s="34"/>
      <c r="AU115" s="34"/>
      <c r="AV115" s="34"/>
      <c r="AW115" s="34"/>
      <c r="AX115" s="4"/>
    </row>
    <row r="116" spans="1:50" x14ac:dyDescent="0.3">
      <c r="A116" s="75" t="s">
        <v>80</v>
      </c>
      <c r="B116" s="64" t="s">
        <v>355</v>
      </c>
      <c r="C116" s="65" t="s">
        <v>356</v>
      </c>
      <c r="D116" s="69" t="s">
        <v>93</v>
      </c>
      <c r="E116" s="63" t="s">
        <v>357</v>
      </c>
      <c r="F116" s="65" t="s">
        <v>358</v>
      </c>
      <c r="G116" s="68" t="s">
        <v>79</v>
      </c>
      <c r="H116" s="73"/>
      <c r="I116" s="73"/>
      <c r="J116" s="73"/>
      <c r="K116" s="73"/>
      <c r="L116" s="73"/>
      <c r="M116" s="73">
        <f t="shared" si="31"/>
        <v>0</v>
      </c>
      <c r="N116" s="73">
        <f t="shared" si="32"/>
        <v>0</v>
      </c>
      <c r="O116" s="73"/>
      <c r="P116" s="73"/>
      <c r="Q116" s="73"/>
      <c r="R116" s="73">
        <f t="shared" si="33"/>
        <v>0</v>
      </c>
      <c r="S116" s="73"/>
      <c r="T116" s="73">
        <v>9181</v>
      </c>
      <c r="U116" s="73"/>
      <c r="V116" s="73"/>
      <c r="W116" s="73"/>
      <c r="X116" s="73"/>
      <c r="Y116" s="73">
        <v>9181</v>
      </c>
      <c r="Z116" s="73">
        <v>9181</v>
      </c>
      <c r="AA116" s="70">
        <v>46050</v>
      </c>
      <c r="AB116" s="71" t="s">
        <v>80</v>
      </c>
      <c r="AC116" s="72" t="s">
        <v>359</v>
      </c>
      <c r="AD116" s="73"/>
      <c r="AE116" s="69">
        <f t="shared" si="34"/>
        <v>9181</v>
      </c>
      <c r="AF116" s="69">
        <f t="shared" si="21"/>
        <v>6440523.4699999979</v>
      </c>
      <c r="AG116" s="1">
        <v>19902990</v>
      </c>
      <c r="AH116" s="6"/>
      <c r="AI116" s="4"/>
      <c r="AJ116" s="77">
        <v>46050</v>
      </c>
      <c r="AK116" s="78">
        <v>0.44097222222222227</v>
      </c>
      <c r="AL116" s="77">
        <v>46050</v>
      </c>
      <c r="AM116" s="78">
        <v>0.61111111111111105</v>
      </c>
      <c r="AN116" s="14" t="str">
        <f t="shared" si="35"/>
        <v>3:05</v>
      </c>
      <c r="AO116" s="14">
        <f t="shared" si="37"/>
        <v>1.83531746031746E-2</v>
      </c>
      <c r="AP116" s="4"/>
      <c r="AQ116" s="34" t="s">
        <v>87</v>
      </c>
      <c r="AR116" s="34"/>
      <c r="AS116" s="73">
        <v>9181</v>
      </c>
      <c r="AT116" s="34"/>
      <c r="AU116" s="34"/>
      <c r="AV116" s="34"/>
      <c r="AW116" s="34"/>
      <c r="AX116" s="4"/>
    </row>
    <row r="117" spans="1:50" x14ac:dyDescent="0.3">
      <c r="A117" s="75" t="s">
        <v>80</v>
      </c>
      <c r="B117" s="64" t="s">
        <v>360</v>
      </c>
      <c r="C117" s="65" t="s">
        <v>356</v>
      </c>
      <c r="D117" s="69" t="s">
        <v>93</v>
      </c>
      <c r="E117" s="63" t="s">
        <v>361</v>
      </c>
      <c r="F117" s="65" t="s">
        <v>362</v>
      </c>
      <c r="G117" s="68" t="s">
        <v>79</v>
      </c>
      <c r="H117" s="73"/>
      <c r="I117" s="73"/>
      <c r="J117" s="73"/>
      <c r="K117" s="73"/>
      <c r="L117" s="73"/>
      <c r="M117" s="73">
        <f t="shared" si="31"/>
        <v>0</v>
      </c>
      <c r="N117" s="73">
        <f t="shared" si="32"/>
        <v>0</v>
      </c>
      <c r="O117" s="73"/>
      <c r="P117" s="73"/>
      <c r="Q117" s="73"/>
      <c r="R117" s="73">
        <f t="shared" si="33"/>
        <v>0</v>
      </c>
      <c r="S117" s="73"/>
      <c r="T117" s="73">
        <v>20597.75</v>
      </c>
      <c r="U117" s="73"/>
      <c r="V117" s="73"/>
      <c r="W117" s="73"/>
      <c r="X117" s="73"/>
      <c r="Y117" s="73">
        <v>20597.75</v>
      </c>
      <c r="Z117" s="73">
        <v>20597.75</v>
      </c>
      <c r="AA117" s="70">
        <v>46050</v>
      </c>
      <c r="AB117" s="71" t="s">
        <v>80</v>
      </c>
      <c r="AC117" s="72" t="s">
        <v>363</v>
      </c>
      <c r="AD117" s="73"/>
      <c r="AE117" s="69">
        <f t="shared" si="34"/>
        <v>20597.75</v>
      </c>
      <c r="AF117" s="69">
        <f t="shared" si="21"/>
        <v>6419925.7199999979</v>
      </c>
      <c r="AG117" s="1">
        <v>19902990</v>
      </c>
      <c r="AH117" s="6"/>
      <c r="AI117" s="4"/>
      <c r="AJ117" s="77">
        <v>46050</v>
      </c>
      <c r="AK117" s="78">
        <v>0.44097222222222227</v>
      </c>
      <c r="AL117" s="77">
        <v>46050</v>
      </c>
      <c r="AM117" s="78">
        <v>0.61111111111111105</v>
      </c>
      <c r="AN117" s="14" t="str">
        <f t="shared" si="35"/>
        <v>3:05</v>
      </c>
      <c r="AO117" s="14">
        <f t="shared" si="37"/>
        <v>1.83531746031746E-2</v>
      </c>
      <c r="AP117" s="4"/>
      <c r="AQ117" s="34" t="s">
        <v>87</v>
      </c>
      <c r="AR117" s="34"/>
      <c r="AS117" s="73">
        <v>20597.75</v>
      </c>
      <c r="AT117" s="34"/>
      <c r="AU117" s="34"/>
      <c r="AV117" s="34"/>
      <c r="AW117" s="34"/>
      <c r="AX117" s="4"/>
    </row>
    <row r="118" spans="1:50" x14ac:dyDescent="0.3">
      <c r="A118" s="75" t="s">
        <v>80</v>
      </c>
      <c r="B118" s="64" t="s">
        <v>364</v>
      </c>
      <c r="C118" s="65" t="s">
        <v>140</v>
      </c>
      <c r="D118" s="69" t="s">
        <v>83</v>
      </c>
      <c r="E118" s="63" t="s">
        <v>143</v>
      </c>
      <c r="F118" s="65" t="s">
        <v>365</v>
      </c>
      <c r="G118" s="68" t="s">
        <v>79</v>
      </c>
      <c r="H118" s="73"/>
      <c r="I118" s="73"/>
      <c r="J118" s="73"/>
      <c r="K118" s="73"/>
      <c r="L118" s="73"/>
      <c r="M118" s="73">
        <f t="shared" si="31"/>
        <v>0</v>
      </c>
      <c r="N118" s="73">
        <f t="shared" si="32"/>
        <v>0</v>
      </c>
      <c r="O118" s="73"/>
      <c r="P118" s="73"/>
      <c r="Q118" s="73"/>
      <c r="R118" s="73">
        <f t="shared" si="33"/>
        <v>0</v>
      </c>
      <c r="S118" s="73"/>
      <c r="T118" s="73">
        <v>112106.05</v>
      </c>
      <c r="U118" s="73"/>
      <c r="V118" s="73"/>
      <c r="W118" s="73"/>
      <c r="X118" s="73"/>
      <c r="Y118" s="97">
        <v>112106.05</v>
      </c>
      <c r="Z118" s="73">
        <v>112106.05</v>
      </c>
      <c r="AA118" s="70">
        <v>46050</v>
      </c>
      <c r="AB118" s="71" t="s">
        <v>80</v>
      </c>
      <c r="AC118" s="72" t="s">
        <v>366</v>
      </c>
      <c r="AD118" s="73"/>
      <c r="AE118" s="69">
        <f t="shared" si="34"/>
        <v>112106.05</v>
      </c>
      <c r="AF118" s="69">
        <f t="shared" si="21"/>
        <v>6307819.6699999981</v>
      </c>
      <c r="AG118" s="1">
        <v>50211990</v>
      </c>
      <c r="AH118" s="6"/>
      <c r="AI118" s="4"/>
      <c r="AJ118" s="77">
        <v>46050</v>
      </c>
      <c r="AK118" s="78">
        <v>0.44097222222222227</v>
      </c>
      <c r="AL118" s="77">
        <v>46050</v>
      </c>
      <c r="AM118" s="78">
        <v>0.61111111111111105</v>
      </c>
      <c r="AN118" s="14" t="str">
        <f t="shared" si="35"/>
        <v>3:05</v>
      </c>
      <c r="AO118" s="14">
        <f t="shared" si="37"/>
        <v>1.83531746031746E-2</v>
      </c>
      <c r="AP118" s="4"/>
      <c r="AQ118" s="34" t="s">
        <v>102</v>
      </c>
      <c r="AR118" s="34"/>
      <c r="AS118" s="73">
        <v>112106.05</v>
      </c>
      <c r="AT118" s="34"/>
      <c r="AU118" s="34"/>
      <c r="AV118" s="34"/>
      <c r="AW118" s="34"/>
      <c r="AX118" s="4"/>
    </row>
    <row r="119" spans="1:50" x14ac:dyDescent="0.3">
      <c r="A119" s="75" t="s">
        <v>80</v>
      </c>
      <c r="B119" s="64" t="s">
        <v>367</v>
      </c>
      <c r="C119" s="65" t="s">
        <v>368</v>
      </c>
      <c r="D119" s="69" t="s">
        <v>348</v>
      </c>
      <c r="E119" s="63" t="s">
        <v>84</v>
      </c>
      <c r="F119" s="65" t="s">
        <v>369</v>
      </c>
      <c r="G119" s="68" t="s">
        <v>79</v>
      </c>
      <c r="H119" s="73"/>
      <c r="I119" s="73"/>
      <c r="J119" s="73"/>
      <c r="K119" s="73"/>
      <c r="L119" s="73"/>
      <c r="M119" s="73">
        <f t="shared" si="31"/>
        <v>0</v>
      </c>
      <c r="N119" s="73">
        <f t="shared" si="32"/>
        <v>0</v>
      </c>
      <c r="O119" s="73"/>
      <c r="P119" s="73"/>
      <c r="Q119" s="73"/>
      <c r="R119" s="73">
        <f t="shared" si="33"/>
        <v>0</v>
      </c>
      <c r="S119" s="73"/>
      <c r="T119" s="73">
        <v>125000</v>
      </c>
      <c r="U119" s="73"/>
      <c r="V119" s="73"/>
      <c r="W119" s="73"/>
      <c r="X119" s="73"/>
      <c r="Y119" s="73">
        <v>125000</v>
      </c>
      <c r="Z119" s="73">
        <v>125000</v>
      </c>
      <c r="AA119" s="70">
        <v>46050</v>
      </c>
      <c r="AB119" s="71" t="s">
        <v>80</v>
      </c>
      <c r="AC119" s="72" t="s">
        <v>370</v>
      </c>
      <c r="AD119" s="73"/>
      <c r="AE119" s="69">
        <f t="shared" si="34"/>
        <v>125000</v>
      </c>
      <c r="AF119" s="69">
        <f t="shared" si="21"/>
        <v>6182819.6699999981</v>
      </c>
      <c r="AG119" s="1">
        <v>50202010</v>
      </c>
      <c r="AH119" s="6"/>
      <c r="AI119" s="4"/>
      <c r="AJ119" s="77">
        <v>46050</v>
      </c>
      <c r="AK119" s="78">
        <v>0.4548611111111111</v>
      </c>
      <c r="AL119" s="77">
        <v>46050</v>
      </c>
      <c r="AM119" s="78">
        <v>0.61111111111111105</v>
      </c>
      <c r="AN119" s="14" t="str">
        <f t="shared" si="35"/>
        <v>2:45</v>
      </c>
      <c r="AO119" s="14">
        <f t="shared" si="37"/>
        <v>1.636904761904762E-2</v>
      </c>
      <c r="AP119" s="4"/>
      <c r="AQ119" s="34" t="s">
        <v>87</v>
      </c>
      <c r="AR119" s="34"/>
      <c r="AS119" s="73">
        <v>125000</v>
      </c>
      <c r="AT119" s="34"/>
      <c r="AU119" s="34"/>
      <c r="AV119" s="34"/>
      <c r="AW119" s="34"/>
      <c r="AX119" s="4"/>
    </row>
    <row r="120" spans="1:50" x14ac:dyDescent="0.3">
      <c r="A120" s="75" t="s">
        <v>80</v>
      </c>
      <c r="B120" s="64" t="s">
        <v>371</v>
      </c>
      <c r="C120" s="65" t="s">
        <v>82</v>
      </c>
      <c r="D120" s="69" t="s">
        <v>93</v>
      </c>
      <c r="E120" s="63" t="s">
        <v>372</v>
      </c>
      <c r="F120" s="65" t="s">
        <v>373</v>
      </c>
      <c r="G120" s="68" t="s">
        <v>79</v>
      </c>
      <c r="H120" s="73"/>
      <c r="I120" s="73"/>
      <c r="J120" s="73">
        <v>64.319999999999993</v>
      </c>
      <c r="K120" s="73"/>
      <c r="L120" s="73"/>
      <c r="M120" s="73">
        <f t="shared" si="31"/>
        <v>0</v>
      </c>
      <c r="N120" s="73">
        <f t="shared" si="32"/>
        <v>64.319999999999993</v>
      </c>
      <c r="O120" s="73"/>
      <c r="P120" s="73"/>
      <c r="Q120" s="73"/>
      <c r="R120" s="73">
        <f t="shared" si="33"/>
        <v>64.319999999999993</v>
      </c>
      <c r="S120" s="73"/>
      <c r="T120" s="73">
        <v>2603.37</v>
      </c>
      <c r="U120" s="73"/>
      <c r="V120" s="73"/>
      <c r="W120" s="73"/>
      <c r="X120" s="73"/>
      <c r="Y120" s="73">
        <v>2603.37</v>
      </c>
      <c r="Z120" s="73">
        <v>2539.0500000000002</v>
      </c>
      <c r="AA120" s="70">
        <v>46050</v>
      </c>
      <c r="AB120" s="71" t="s">
        <v>80</v>
      </c>
      <c r="AC120" s="72" t="s">
        <v>374</v>
      </c>
      <c r="AD120" s="73"/>
      <c r="AE120" s="69">
        <f t="shared" si="34"/>
        <v>2539.0499999999997</v>
      </c>
      <c r="AF120" s="69">
        <f t="shared" si="21"/>
        <v>6180280.6199999982</v>
      </c>
      <c r="AG120" s="1">
        <v>50204020</v>
      </c>
      <c r="AH120" s="6"/>
      <c r="AI120" s="4"/>
      <c r="AJ120" s="77">
        <v>46050</v>
      </c>
      <c r="AK120" s="78">
        <v>0.62638888888888888</v>
      </c>
      <c r="AL120" s="77">
        <v>46050</v>
      </c>
      <c r="AM120" s="78">
        <v>0.69930555555555562</v>
      </c>
      <c r="AN120" s="14" t="str">
        <f>+TEXT(AM120-AK120,"h:mm")</f>
        <v>1:45</v>
      </c>
      <c r="AO120" s="14">
        <f>+AN120/1</f>
        <v>7.2916666666666671E-2</v>
      </c>
      <c r="AP120" s="4"/>
      <c r="AQ120" s="34" t="s">
        <v>87</v>
      </c>
      <c r="AR120" s="34"/>
      <c r="AS120" s="73">
        <v>2539.0500000000002</v>
      </c>
      <c r="AT120" s="34"/>
      <c r="AU120" s="34"/>
      <c r="AV120" s="34"/>
      <c r="AW120" s="34"/>
      <c r="AX120" s="4"/>
    </row>
    <row r="121" spans="1:50" x14ac:dyDescent="0.3">
      <c r="A121" s="63"/>
      <c r="B121" s="64"/>
      <c r="C121" s="65"/>
      <c r="D121" s="69"/>
      <c r="E121" s="63"/>
      <c r="F121" s="65"/>
      <c r="G121" s="68" t="s">
        <v>79</v>
      </c>
      <c r="H121" s="73"/>
      <c r="I121" s="73"/>
      <c r="J121" s="73"/>
      <c r="K121" s="73"/>
      <c r="L121" s="73"/>
      <c r="M121" s="73">
        <f t="shared" si="31"/>
        <v>0</v>
      </c>
      <c r="N121" s="73">
        <f t="shared" si="32"/>
        <v>0</v>
      </c>
      <c r="O121" s="73"/>
      <c r="P121" s="73"/>
      <c r="Q121" s="73"/>
      <c r="R121" s="73">
        <f t="shared" si="33"/>
        <v>0</v>
      </c>
      <c r="S121" s="73"/>
      <c r="T121" s="73"/>
      <c r="U121" s="73"/>
      <c r="V121" s="73"/>
      <c r="W121" s="73"/>
      <c r="X121" s="73"/>
      <c r="Y121" s="73"/>
      <c r="Z121" s="73"/>
      <c r="AA121" s="70"/>
      <c r="AB121" s="71"/>
      <c r="AC121" s="72"/>
      <c r="AD121" s="73"/>
      <c r="AE121" s="69">
        <f t="shared" si="34"/>
        <v>0</v>
      </c>
      <c r="AF121" s="69">
        <f>+AF120+AD121-AE121</f>
        <v>6180280.6199999982</v>
      </c>
      <c r="AG121" s="1"/>
      <c r="AH121" s="6"/>
      <c r="AI121" s="4"/>
      <c r="AJ121" s="77"/>
      <c r="AK121" s="78"/>
      <c r="AL121" s="77"/>
      <c r="AM121" s="78"/>
      <c r="AN121" s="14"/>
      <c r="AO121" s="14"/>
      <c r="AP121" s="4"/>
      <c r="AQ121" s="34"/>
      <c r="AR121" s="34"/>
      <c r="AS121" s="34"/>
      <c r="AT121" s="34"/>
      <c r="AU121" s="34"/>
      <c r="AV121" s="34"/>
      <c r="AW121" s="34"/>
      <c r="AX121" s="4"/>
    </row>
    <row r="122" spans="1:50" x14ac:dyDescent="0.3">
      <c r="A122" s="63"/>
      <c r="B122" s="64"/>
      <c r="C122" s="65"/>
      <c r="D122" s="69"/>
      <c r="E122" s="98">
        <f>SUM(E13:E120)</f>
        <v>827629.65999999992</v>
      </c>
      <c r="F122" s="65"/>
      <c r="G122" s="68" t="s">
        <v>79</v>
      </c>
      <c r="H122" s="98">
        <f t="shared" ref="H122:Z122" si="38">SUM(H13:H120)</f>
        <v>268453.95</v>
      </c>
      <c r="I122" s="98">
        <f t="shared" si="38"/>
        <v>2412.9499999999998</v>
      </c>
      <c r="J122" s="98">
        <f t="shared" si="38"/>
        <v>9090.3299999999981</v>
      </c>
      <c r="K122" s="98">
        <f t="shared" si="38"/>
        <v>912</v>
      </c>
      <c r="L122" s="98">
        <f t="shared" si="38"/>
        <v>0</v>
      </c>
      <c r="M122" s="98">
        <f t="shared" si="38"/>
        <v>0</v>
      </c>
      <c r="N122" s="98">
        <f t="shared" si="38"/>
        <v>280869.23000000004</v>
      </c>
      <c r="O122" s="98">
        <f t="shared" si="38"/>
        <v>0</v>
      </c>
      <c r="P122" s="98">
        <f t="shared" si="38"/>
        <v>0</v>
      </c>
      <c r="Q122" s="98">
        <f t="shared" si="38"/>
        <v>0</v>
      </c>
      <c r="R122" s="98">
        <f t="shared" si="38"/>
        <v>280869.23000000004</v>
      </c>
      <c r="S122" s="98">
        <f t="shared" si="38"/>
        <v>617960.22</v>
      </c>
      <c r="T122" s="98">
        <f t="shared" si="38"/>
        <v>4816530.6099999994</v>
      </c>
      <c r="U122" s="98">
        <f t="shared" si="38"/>
        <v>0</v>
      </c>
      <c r="V122" s="98">
        <f t="shared" si="38"/>
        <v>1362777.8</v>
      </c>
      <c r="W122" s="98">
        <f t="shared" si="38"/>
        <v>0</v>
      </c>
      <c r="X122" s="98">
        <f t="shared" si="38"/>
        <v>0</v>
      </c>
      <c r="Y122" s="98">
        <f t="shared" si="38"/>
        <v>3453752.8099999996</v>
      </c>
      <c r="Z122" s="98">
        <f t="shared" si="38"/>
        <v>3708031.7199999997</v>
      </c>
      <c r="AA122" s="70"/>
      <c r="AB122" s="71"/>
      <c r="AC122" s="72"/>
      <c r="AD122" s="73"/>
      <c r="AE122" s="69"/>
      <c r="AF122" s="69">
        <f t="shared" si="21"/>
        <v>6180280.6199999982</v>
      </c>
      <c r="AG122" s="99">
        <f>SUM(AE14:AE120)</f>
        <v>4535661.38</v>
      </c>
      <c r="AH122" s="6"/>
      <c r="AI122" s="4"/>
      <c r="AJ122" s="77"/>
      <c r="AK122" s="78"/>
      <c r="AL122" s="77"/>
      <c r="AM122" s="78"/>
      <c r="AN122" s="14"/>
      <c r="AO122" s="14"/>
      <c r="AP122" s="4"/>
      <c r="AQ122" s="34"/>
      <c r="AR122" s="100">
        <f t="shared" ref="AR122:AW122" si="39">SUM(AR14:AR120)</f>
        <v>2515888.2800000003</v>
      </c>
      <c r="AS122" s="100">
        <f t="shared" si="39"/>
        <v>656995.30000000016</v>
      </c>
      <c r="AT122" s="100">
        <f t="shared" si="39"/>
        <v>0</v>
      </c>
      <c r="AU122" s="100">
        <f t="shared" si="39"/>
        <v>201902.98</v>
      </c>
      <c r="AV122" s="100">
        <f t="shared" si="39"/>
        <v>1160874.8199999998</v>
      </c>
      <c r="AW122" s="100">
        <f t="shared" si="39"/>
        <v>0</v>
      </c>
      <c r="AX122" s="17">
        <f>SUM(AR122:AW122)</f>
        <v>4535661.3800000008</v>
      </c>
    </row>
    <row r="123" spans="1:50" x14ac:dyDescent="0.3">
      <c r="A123" s="63"/>
      <c r="B123" s="64"/>
      <c r="C123" s="65"/>
      <c r="D123" s="69"/>
      <c r="E123" s="98">
        <f>E122+Z122</f>
        <v>4535661.38</v>
      </c>
      <c r="F123" s="65"/>
      <c r="G123" s="68"/>
      <c r="H123" s="98"/>
      <c r="I123" s="98"/>
      <c r="J123" s="98"/>
      <c r="K123" s="98"/>
      <c r="L123" s="98"/>
      <c r="M123" s="101"/>
      <c r="N123" s="101"/>
      <c r="O123" s="98"/>
      <c r="P123" s="98"/>
      <c r="Q123" s="98"/>
      <c r="R123" s="101"/>
      <c r="S123" s="98"/>
      <c r="T123" s="98"/>
      <c r="U123" s="98"/>
      <c r="V123" s="98"/>
      <c r="W123" s="98"/>
      <c r="X123" s="98"/>
      <c r="Y123" s="98"/>
      <c r="Z123" s="98"/>
      <c r="AA123" s="70"/>
      <c r="AB123" s="71"/>
      <c r="AC123" s="72"/>
      <c r="AD123" s="73"/>
      <c r="AE123" s="69"/>
      <c r="AF123" s="69">
        <f t="shared" si="21"/>
        <v>6180280.6199999982</v>
      </c>
      <c r="AG123" s="99">
        <f>AG122-E123</f>
        <v>0</v>
      </c>
      <c r="AH123" s="6"/>
      <c r="AI123" s="4"/>
      <c r="AJ123" s="77"/>
      <c r="AK123" s="78"/>
      <c r="AL123" s="77"/>
      <c r="AM123" s="78"/>
      <c r="AN123" s="14"/>
      <c r="AO123" s="14"/>
      <c r="AP123" s="4"/>
      <c r="AQ123" s="34" t="s">
        <v>375</v>
      </c>
      <c r="AR123" s="94">
        <f>H122</f>
        <v>268453.95</v>
      </c>
      <c r="AS123" s="34"/>
      <c r="AT123" s="34"/>
      <c r="AU123" s="34"/>
      <c r="AV123" s="34"/>
      <c r="AW123" s="34"/>
      <c r="AX123" s="17">
        <f>AX122-E123</f>
        <v>0</v>
      </c>
    </row>
    <row r="124" spans="1:50" x14ac:dyDescent="0.3">
      <c r="A124" s="63"/>
      <c r="B124" s="64"/>
      <c r="C124" s="65"/>
      <c r="D124" s="69"/>
      <c r="E124" s="63"/>
      <c r="F124" s="65"/>
      <c r="G124" s="68" t="s">
        <v>79</v>
      </c>
      <c r="H124" s="73"/>
      <c r="I124" s="73"/>
      <c r="J124" s="73"/>
      <c r="K124" s="73"/>
      <c r="L124" s="73"/>
      <c r="M124" s="73">
        <f>(T124-R124)-Z124</f>
        <v>0</v>
      </c>
      <c r="N124" s="73">
        <f>SUM(H124:L124)</f>
        <v>0</v>
      </c>
      <c r="O124" s="73"/>
      <c r="P124" s="73"/>
      <c r="Q124" s="73"/>
      <c r="R124" s="73">
        <f>+N124+SUM(O124:Q124)</f>
        <v>0</v>
      </c>
      <c r="S124" s="73"/>
      <c r="T124" s="73"/>
      <c r="U124" s="73"/>
      <c r="V124" s="73"/>
      <c r="W124" s="73"/>
      <c r="X124" s="73"/>
      <c r="Y124" s="73"/>
      <c r="Z124" s="73"/>
      <c r="AA124" s="70"/>
      <c r="AB124" s="71"/>
      <c r="AC124" s="72"/>
      <c r="AD124" s="73"/>
      <c r="AE124" s="69">
        <f>T124-N124</f>
        <v>0</v>
      </c>
      <c r="AF124" s="69">
        <f t="shared" si="21"/>
        <v>6180280.6199999982</v>
      </c>
      <c r="AG124" s="102">
        <v>6180280.6200000001</v>
      </c>
      <c r="AH124" s="6" t="s">
        <v>376</v>
      </c>
      <c r="AI124" s="4"/>
      <c r="AJ124" s="77"/>
      <c r="AK124" s="78"/>
      <c r="AL124" s="77"/>
      <c r="AM124" s="78"/>
      <c r="AN124" s="14"/>
      <c r="AO124" s="14"/>
      <c r="AP124" s="4"/>
      <c r="AQ124" s="34" t="s">
        <v>377</v>
      </c>
      <c r="AR124" s="94">
        <f>AR122+AR123</f>
        <v>2784342.2300000004</v>
      </c>
      <c r="AS124" s="34"/>
      <c r="AT124" s="34"/>
      <c r="AU124" s="34"/>
      <c r="AV124" s="34"/>
      <c r="AW124" s="34"/>
      <c r="AX124" s="4"/>
    </row>
    <row r="125" spans="1:50" x14ac:dyDescent="0.3">
      <c r="A125" s="63"/>
      <c r="B125" s="64"/>
      <c r="C125" s="65"/>
      <c r="D125" s="69"/>
      <c r="E125" s="63"/>
      <c r="F125" s="65"/>
      <c r="G125" s="68"/>
      <c r="H125" s="73"/>
      <c r="I125" s="73"/>
      <c r="J125" s="73"/>
      <c r="K125" s="73"/>
      <c r="L125" s="73"/>
      <c r="M125" s="73"/>
      <c r="N125" s="73"/>
      <c r="O125" s="73"/>
      <c r="P125" s="73"/>
      <c r="Q125" s="73"/>
      <c r="R125" s="73"/>
      <c r="S125" s="73"/>
      <c r="T125" s="73"/>
      <c r="U125" s="73"/>
      <c r="V125" s="73"/>
      <c r="W125" s="73"/>
      <c r="X125" s="73"/>
      <c r="Y125" s="73"/>
      <c r="Z125" s="73"/>
      <c r="AA125" s="70"/>
      <c r="AB125" s="71"/>
      <c r="AC125" s="72"/>
      <c r="AD125" s="73"/>
      <c r="AE125" s="69"/>
      <c r="AF125" s="69">
        <f>+AF124+AD125-AE125</f>
        <v>6180280.6199999982</v>
      </c>
      <c r="AG125" s="102">
        <f>AF124-AG124</f>
        <v>0</v>
      </c>
      <c r="AH125" s="6"/>
      <c r="AI125" s="4"/>
      <c r="AJ125" s="77"/>
      <c r="AK125" s="78"/>
      <c r="AL125" s="77"/>
      <c r="AM125" s="78"/>
      <c r="AN125" s="14"/>
      <c r="AO125" s="14"/>
      <c r="AP125" s="4"/>
      <c r="AQ125" s="34"/>
      <c r="AR125" s="94"/>
      <c r="AS125" s="34"/>
      <c r="AT125" s="34"/>
      <c r="AU125" s="34"/>
      <c r="AV125" s="34"/>
      <c r="AW125" s="34"/>
      <c r="AX125" s="4"/>
    </row>
    <row r="126" spans="1:50" x14ac:dyDescent="0.3">
      <c r="A126" s="63"/>
      <c r="B126" s="64"/>
      <c r="C126" s="65"/>
      <c r="D126" s="69"/>
      <c r="E126" s="63"/>
      <c r="F126" s="65"/>
      <c r="G126" s="68"/>
      <c r="H126" s="73"/>
      <c r="I126" s="73"/>
      <c r="J126" s="73"/>
      <c r="K126" s="73"/>
      <c r="L126" s="73"/>
      <c r="M126" s="73"/>
      <c r="N126" s="73"/>
      <c r="O126" s="73"/>
      <c r="P126" s="73"/>
      <c r="Q126" s="73"/>
      <c r="R126" s="73"/>
      <c r="S126" s="73"/>
      <c r="T126" s="73"/>
      <c r="U126" s="73"/>
      <c r="V126" s="73"/>
      <c r="W126" s="73"/>
      <c r="X126" s="73"/>
      <c r="Y126" s="73"/>
      <c r="Z126" s="73"/>
      <c r="AA126" s="70"/>
      <c r="AB126" s="71"/>
      <c r="AC126" s="72"/>
      <c r="AD126" s="73"/>
      <c r="AE126" s="69"/>
      <c r="AF126" s="69">
        <f t="shared" si="21"/>
        <v>6180280.6199999982</v>
      </c>
      <c r="AG126" s="102">
        <f>[1]PS!E27+[1]MOOE!E54+[1]ONELAB!E17+[1]GIA!E21+'[1]MOOE CNTG'!E18+'[1]PRIOR YEAR AP'!E63</f>
        <v>4535661.3800000008</v>
      </c>
      <c r="AH126" s="6" t="s">
        <v>378</v>
      </c>
      <c r="AI126" s="4"/>
      <c r="AJ126" s="77"/>
      <c r="AK126" s="78"/>
      <c r="AL126" s="77"/>
      <c r="AM126" s="78"/>
      <c r="AN126" s="14"/>
      <c r="AO126" s="14"/>
      <c r="AP126" s="4"/>
      <c r="AQ126" s="34"/>
      <c r="AR126" s="94"/>
      <c r="AS126" s="34"/>
      <c r="AT126" s="34"/>
      <c r="AU126" s="34"/>
      <c r="AV126" s="34"/>
      <c r="AW126" s="34"/>
      <c r="AX126" s="4"/>
    </row>
    <row r="127" spans="1:50" x14ac:dyDescent="0.3">
      <c r="A127" s="63"/>
      <c r="B127" s="64"/>
      <c r="C127" s="74" t="s">
        <v>379</v>
      </c>
      <c r="D127" s="69"/>
      <c r="E127" s="63"/>
      <c r="F127" s="65"/>
      <c r="G127" s="68" t="s">
        <v>79</v>
      </c>
      <c r="H127" s="73"/>
      <c r="I127" s="73"/>
      <c r="J127" s="73"/>
      <c r="K127" s="73"/>
      <c r="L127" s="73"/>
      <c r="M127" s="73">
        <f t="shared" ref="M127:M130" si="40">(T127-R127)-Z127</f>
        <v>0</v>
      </c>
      <c r="N127" s="73">
        <f t="shared" ref="N127:N130" si="41">SUM(H127:L127)</f>
        <v>0</v>
      </c>
      <c r="O127" s="73"/>
      <c r="P127" s="73"/>
      <c r="Q127" s="73"/>
      <c r="R127" s="73">
        <f t="shared" ref="R127:R130" si="42">+N127+SUM(O127:Q127)</f>
        <v>0</v>
      </c>
      <c r="S127" s="73"/>
      <c r="T127" s="73"/>
      <c r="U127" s="73"/>
      <c r="V127" s="73"/>
      <c r="W127" s="73"/>
      <c r="X127" s="73"/>
      <c r="Y127" s="73"/>
      <c r="Z127" s="73"/>
      <c r="AA127" s="70"/>
      <c r="AB127" s="71"/>
      <c r="AC127" s="72"/>
      <c r="AD127" s="73"/>
      <c r="AE127" s="69">
        <f t="shared" ref="AE127:AE128" si="43">T127-N127</f>
        <v>0</v>
      </c>
      <c r="AF127" s="69">
        <f t="shared" si="21"/>
        <v>6180280.6199999982</v>
      </c>
      <c r="AG127" s="102">
        <f>AG126-E123</f>
        <v>0</v>
      </c>
      <c r="AH127" s="6"/>
      <c r="AI127" s="4"/>
      <c r="AJ127" s="77"/>
      <c r="AK127" s="78"/>
      <c r="AL127" s="77"/>
      <c r="AM127" s="78"/>
      <c r="AN127" s="14"/>
      <c r="AO127" s="14"/>
      <c r="AP127" s="4"/>
      <c r="AQ127" s="34" t="s">
        <v>380</v>
      </c>
      <c r="AR127" s="94">
        <f>AR124</f>
        <v>2784342.2300000004</v>
      </c>
      <c r="AS127" s="34"/>
      <c r="AT127" s="34"/>
      <c r="AU127" s="34"/>
      <c r="AV127" s="34"/>
      <c r="AW127" s="34"/>
      <c r="AX127" s="4"/>
    </row>
    <row r="128" spans="1:50" x14ac:dyDescent="0.3">
      <c r="A128" s="63"/>
      <c r="B128" s="64"/>
      <c r="C128" s="4"/>
      <c r="D128" s="69"/>
      <c r="E128" s="63"/>
      <c r="F128" s="65"/>
      <c r="G128" s="68" t="s">
        <v>79</v>
      </c>
      <c r="H128" s="73"/>
      <c r="I128" s="73"/>
      <c r="J128" s="73"/>
      <c r="K128" s="73"/>
      <c r="L128" s="73"/>
      <c r="M128" s="73">
        <f t="shared" si="40"/>
        <v>0</v>
      </c>
      <c r="N128" s="73">
        <f t="shared" si="41"/>
        <v>0</v>
      </c>
      <c r="O128" s="73"/>
      <c r="P128" s="73"/>
      <c r="Q128" s="73"/>
      <c r="R128" s="73">
        <f t="shared" si="42"/>
        <v>0</v>
      </c>
      <c r="S128" s="73"/>
      <c r="T128" s="73"/>
      <c r="U128" s="73"/>
      <c r="V128" s="73"/>
      <c r="W128" s="73"/>
      <c r="X128" s="73"/>
      <c r="Y128" s="73"/>
      <c r="Z128" s="73"/>
      <c r="AA128" s="70"/>
      <c r="AB128" s="71"/>
      <c r="AC128" s="72"/>
      <c r="AD128" s="73"/>
      <c r="AE128" s="69">
        <f t="shared" si="43"/>
        <v>0</v>
      </c>
      <c r="AF128" s="69">
        <f>+AF127+AD128-AE128</f>
        <v>6180280.6199999982</v>
      </c>
      <c r="AG128" s="1"/>
      <c r="AH128" s="6"/>
      <c r="AI128" s="4"/>
      <c r="AJ128" s="77"/>
      <c r="AK128" s="78"/>
      <c r="AL128" s="77"/>
      <c r="AM128" s="78"/>
      <c r="AN128" s="14"/>
      <c r="AO128" s="14"/>
      <c r="AP128" s="4"/>
      <c r="AQ128" s="34" t="s">
        <v>381</v>
      </c>
      <c r="AR128" s="94">
        <v>2784342.23</v>
      </c>
      <c r="AS128" s="34"/>
      <c r="AT128" s="34"/>
      <c r="AU128" s="34"/>
      <c r="AV128" s="34"/>
      <c r="AW128" s="34"/>
      <c r="AX128" s="4"/>
    </row>
    <row r="129" spans="1:50" x14ac:dyDescent="0.3">
      <c r="A129" s="103" t="s">
        <v>80</v>
      </c>
      <c r="B129" s="104" t="s">
        <v>382</v>
      </c>
      <c r="C129" s="105" t="s">
        <v>383</v>
      </c>
      <c r="D129" s="7" t="s">
        <v>83</v>
      </c>
      <c r="E129" s="106" t="s">
        <v>384</v>
      </c>
      <c r="F129" s="105" t="s">
        <v>385</v>
      </c>
      <c r="G129" s="107" t="s">
        <v>386</v>
      </c>
      <c r="H129" s="106"/>
      <c r="I129" s="106">
        <f>118.48+167.5</f>
        <v>285.98</v>
      </c>
      <c r="J129" s="106">
        <v>1011.16</v>
      </c>
      <c r="K129" s="106"/>
      <c r="L129" s="106"/>
      <c r="M129" s="106">
        <f t="shared" si="40"/>
        <v>0</v>
      </c>
      <c r="N129" s="106">
        <f t="shared" si="41"/>
        <v>1297.1399999999999</v>
      </c>
      <c r="O129" s="106"/>
      <c r="P129" s="106"/>
      <c r="Q129" s="106"/>
      <c r="R129" s="106">
        <f t="shared" si="42"/>
        <v>1297.1399999999999</v>
      </c>
      <c r="S129" s="106"/>
      <c r="T129" s="106">
        <v>22650</v>
      </c>
      <c r="U129" s="106"/>
      <c r="V129" s="106"/>
      <c r="W129" s="106"/>
      <c r="X129" s="106">
        <v>22650</v>
      </c>
      <c r="Y129" s="108"/>
      <c r="Z129" s="106">
        <v>21352.86</v>
      </c>
      <c r="AA129" s="109">
        <v>46051</v>
      </c>
      <c r="AB129" s="110" t="s">
        <v>80</v>
      </c>
      <c r="AC129" s="111" t="s">
        <v>387</v>
      </c>
      <c r="AD129" s="106"/>
      <c r="AE129" s="7"/>
      <c r="AF129" s="69">
        <f t="shared" si="21"/>
        <v>6180280.6199999982</v>
      </c>
      <c r="AG129" s="1">
        <v>50213060</v>
      </c>
      <c r="AH129" s="6" t="s">
        <v>388</v>
      </c>
      <c r="AI129" s="4"/>
      <c r="AJ129" s="77"/>
      <c r="AK129" s="78"/>
      <c r="AL129" s="77"/>
      <c r="AM129" s="78"/>
      <c r="AN129" s="14"/>
      <c r="AO129" s="14"/>
      <c r="AP129" s="4"/>
      <c r="AQ129" s="34"/>
      <c r="AR129" s="94">
        <f>AR127-AR128</f>
        <v>0</v>
      </c>
      <c r="AS129" s="34"/>
      <c r="AT129" s="34"/>
      <c r="AU129" s="34"/>
      <c r="AV129" s="34"/>
      <c r="AW129" s="34"/>
      <c r="AX129" s="4"/>
    </row>
    <row r="130" spans="1:50" x14ac:dyDescent="0.3">
      <c r="A130" s="103" t="s">
        <v>80</v>
      </c>
      <c r="B130" s="112" t="s">
        <v>389</v>
      </c>
      <c r="C130" s="105" t="s">
        <v>390</v>
      </c>
      <c r="D130" s="7" t="s">
        <v>83</v>
      </c>
      <c r="E130" s="106" t="s">
        <v>384</v>
      </c>
      <c r="F130" s="105" t="s">
        <v>391</v>
      </c>
      <c r="G130" s="107" t="s">
        <v>386</v>
      </c>
      <c r="H130" s="7"/>
      <c r="I130" s="7"/>
      <c r="J130" s="7"/>
      <c r="K130" s="7"/>
      <c r="L130" s="106"/>
      <c r="M130" s="106">
        <f t="shared" si="40"/>
        <v>0</v>
      </c>
      <c r="N130" s="106">
        <f t="shared" si="41"/>
        <v>0</v>
      </c>
      <c r="O130" s="7"/>
      <c r="P130" s="7"/>
      <c r="Q130" s="7"/>
      <c r="R130" s="106">
        <f t="shared" si="42"/>
        <v>0</v>
      </c>
      <c r="S130" s="7"/>
      <c r="T130" s="7">
        <v>3350</v>
      </c>
      <c r="U130" s="7"/>
      <c r="V130" s="7"/>
      <c r="W130" s="7"/>
      <c r="X130" s="113">
        <v>3350</v>
      </c>
      <c r="Y130" s="7"/>
      <c r="Z130" s="106">
        <v>3350</v>
      </c>
      <c r="AA130" s="109">
        <v>46051</v>
      </c>
      <c r="AB130" s="110" t="s">
        <v>80</v>
      </c>
      <c r="AC130" s="111" t="s">
        <v>392</v>
      </c>
      <c r="AD130" s="7"/>
      <c r="AE130" s="7"/>
      <c r="AF130" s="69">
        <f t="shared" si="21"/>
        <v>6180280.6199999982</v>
      </c>
      <c r="AG130" s="1">
        <v>50213210</v>
      </c>
      <c r="AH130" s="6" t="s">
        <v>393</v>
      </c>
      <c r="AI130" s="4"/>
      <c r="AJ130" s="77"/>
      <c r="AK130" s="78"/>
      <c r="AL130" s="77"/>
      <c r="AM130" s="78"/>
      <c r="AN130" s="14"/>
      <c r="AO130" s="14"/>
      <c r="AP130" s="4"/>
      <c r="AQ130" s="34"/>
      <c r="AR130" s="34"/>
      <c r="AS130" s="34"/>
      <c r="AT130" s="34"/>
      <c r="AU130" s="34"/>
      <c r="AV130" s="34"/>
      <c r="AW130" s="34"/>
      <c r="AX130" s="4"/>
    </row>
    <row r="131" spans="1:50" x14ac:dyDescent="0.3">
      <c r="A131" s="63"/>
      <c r="B131" s="64"/>
      <c r="C131" s="65"/>
      <c r="D131" s="69"/>
      <c r="E131" s="63"/>
      <c r="F131" s="65"/>
      <c r="G131" s="68" t="s">
        <v>79</v>
      </c>
      <c r="H131" s="73"/>
      <c r="I131" s="73"/>
      <c r="J131" s="73"/>
      <c r="K131" s="73"/>
      <c r="L131" s="73"/>
      <c r="M131" s="73"/>
      <c r="N131" s="73"/>
      <c r="O131" s="73"/>
      <c r="P131" s="73"/>
      <c r="Q131" s="73"/>
      <c r="R131" s="73"/>
      <c r="S131" s="73"/>
      <c r="T131" s="73"/>
      <c r="U131" s="73"/>
      <c r="V131" s="73"/>
      <c r="W131" s="73"/>
      <c r="X131" s="73"/>
      <c r="Y131" s="73"/>
      <c r="Z131" s="73"/>
      <c r="AA131" s="70"/>
      <c r="AB131" s="71"/>
      <c r="AC131" s="72"/>
      <c r="AD131" s="73"/>
      <c r="AE131" s="69"/>
      <c r="AF131" s="69">
        <f>+AF130+AD131-AE131</f>
        <v>6180280.6199999982</v>
      </c>
      <c r="AG131" s="1"/>
      <c r="AH131" s="6"/>
      <c r="AI131" s="4"/>
      <c r="AJ131" s="77"/>
      <c r="AK131" s="78"/>
      <c r="AL131" s="77"/>
      <c r="AM131" s="78"/>
      <c r="AN131" s="14"/>
      <c r="AO131" s="14"/>
      <c r="AP131" s="4"/>
      <c r="AQ131" s="34"/>
      <c r="AR131" s="114"/>
      <c r="AS131" s="115" t="s">
        <v>102</v>
      </c>
      <c r="AT131" s="116" t="s">
        <v>87</v>
      </c>
      <c r="AU131" s="117"/>
      <c r="AV131" s="34"/>
      <c r="AW131" s="34"/>
      <c r="AX131" s="4"/>
    </row>
    <row r="132" spans="1:50" x14ac:dyDescent="0.3">
      <c r="A132" s="63"/>
      <c r="B132" s="64"/>
      <c r="C132" s="65"/>
      <c r="D132" s="69"/>
      <c r="E132" s="63"/>
      <c r="F132" s="65"/>
      <c r="G132" s="68" t="s">
        <v>79</v>
      </c>
      <c r="H132" s="73">
        <f t="shared" ref="H132:X132" si="44">SUM(H129:H130)</f>
        <v>0</v>
      </c>
      <c r="I132" s="73">
        <f t="shared" si="44"/>
        <v>285.98</v>
      </c>
      <c r="J132" s="73">
        <f t="shared" si="44"/>
        <v>1011.16</v>
      </c>
      <c r="K132" s="73">
        <f t="shared" si="44"/>
        <v>0</v>
      </c>
      <c r="L132" s="73">
        <f t="shared" si="44"/>
        <v>0</v>
      </c>
      <c r="M132" s="73">
        <f t="shared" si="44"/>
        <v>0</v>
      </c>
      <c r="N132" s="73">
        <f t="shared" si="44"/>
        <v>1297.1399999999999</v>
      </c>
      <c r="O132" s="73">
        <f t="shared" si="44"/>
        <v>0</v>
      </c>
      <c r="P132" s="73">
        <f t="shared" si="44"/>
        <v>0</v>
      </c>
      <c r="Q132" s="73">
        <f t="shared" si="44"/>
        <v>0</v>
      </c>
      <c r="R132" s="73">
        <f t="shared" si="44"/>
        <v>1297.1399999999999</v>
      </c>
      <c r="S132" s="73">
        <f t="shared" si="44"/>
        <v>0</v>
      </c>
      <c r="T132" s="73">
        <f t="shared" si="44"/>
        <v>26000</v>
      </c>
      <c r="U132" s="73">
        <f t="shared" si="44"/>
        <v>0</v>
      </c>
      <c r="V132" s="73">
        <f t="shared" si="44"/>
        <v>0</v>
      </c>
      <c r="W132" s="73">
        <f t="shared" si="44"/>
        <v>0</v>
      </c>
      <c r="X132" s="73">
        <f t="shared" si="44"/>
        <v>26000</v>
      </c>
      <c r="Y132" s="73"/>
      <c r="Z132" s="73"/>
      <c r="AA132" s="70"/>
      <c r="AB132" s="71"/>
      <c r="AC132" s="72"/>
      <c r="AD132" s="73"/>
      <c r="AE132" s="69"/>
      <c r="AF132" s="69">
        <f t="shared" si="21"/>
        <v>6180280.6199999982</v>
      </c>
      <c r="AG132" s="1"/>
      <c r="AH132" s="6"/>
      <c r="AI132" s="4"/>
      <c r="AJ132" s="77"/>
      <c r="AK132" s="78"/>
      <c r="AL132" s="77"/>
      <c r="AM132" s="78"/>
      <c r="AN132" s="14"/>
      <c r="AO132" s="14"/>
      <c r="AP132" s="4"/>
      <c r="AQ132" s="34"/>
      <c r="AR132" s="118"/>
      <c r="AS132" s="115"/>
      <c r="AT132" s="116"/>
      <c r="AU132" s="117"/>
      <c r="AV132" s="34"/>
      <c r="AW132" s="34"/>
      <c r="AX132" s="4"/>
    </row>
    <row r="133" spans="1:50" x14ac:dyDescent="0.3">
      <c r="A133" s="63"/>
      <c r="B133" s="64"/>
      <c r="C133" s="65"/>
      <c r="D133" s="69"/>
      <c r="E133" s="63"/>
      <c r="F133" s="65"/>
      <c r="G133" s="68" t="s">
        <v>79</v>
      </c>
      <c r="H133" s="73"/>
      <c r="I133" s="73"/>
      <c r="J133" s="73"/>
      <c r="K133" s="73"/>
      <c r="L133" s="119"/>
      <c r="M133" s="73"/>
      <c r="N133" s="73"/>
      <c r="O133" s="73"/>
      <c r="P133" s="73"/>
      <c r="Q133" s="73"/>
      <c r="R133" s="73"/>
      <c r="S133" s="73"/>
      <c r="T133" s="73"/>
      <c r="U133" s="73"/>
      <c r="V133" s="73"/>
      <c r="W133" s="73"/>
      <c r="X133" s="73"/>
      <c r="Y133" s="73"/>
      <c r="Z133" s="73"/>
      <c r="AA133" s="70"/>
      <c r="AB133" s="71"/>
      <c r="AC133" s="72"/>
      <c r="AD133" s="73"/>
      <c r="AE133" s="69"/>
      <c r="AF133" s="69">
        <f>+AF132+AD133-AE133</f>
        <v>6180280.6199999982</v>
      </c>
      <c r="AG133" s="1"/>
      <c r="AH133" s="6"/>
      <c r="AI133" s="4"/>
      <c r="AJ133" s="77"/>
      <c r="AK133" s="78"/>
      <c r="AL133" s="77"/>
      <c r="AM133" s="78"/>
      <c r="AN133" s="14"/>
      <c r="AO133" s="14"/>
      <c r="AP133" s="4"/>
      <c r="AQ133" s="34"/>
      <c r="AR133" s="118"/>
      <c r="AS133" s="115"/>
      <c r="AT133" s="116"/>
      <c r="AU133" s="117"/>
      <c r="AV133" s="34"/>
      <c r="AW133" s="34"/>
      <c r="AX133" s="4"/>
    </row>
    <row r="134" spans="1:50" x14ac:dyDescent="0.3">
      <c r="A134" s="63"/>
      <c r="B134" s="64"/>
      <c r="C134" s="74" t="s">
        <v>394</v>
      </c>
      <c r="D134" s="69"/>
      <c r="E134" s="63"/>
      <c r="F134" s="65"/>
      <c r="G134" s="68" t="s">
        <v>79</v>
      </c>
      <c r="H134" s="73"/>
      <c r="I134" s="73"/>
      <c r="J134" s="73"/>
      <c r="K134" s="73"/>
      <c r="L134" s="119"/>
      <c r="M134" s="73"/>
      <c r="N134" s="73"/>
      <c r="O134" s="73"/>
      <c r="P134" s="73"/>
      <c r="Q134" s="73"/>
      <c r="R134" s="73"/>
      <c r="S134" s="73"/>
      <c r="T134" s="73"/>
      <c r="U134" s="73"/>
      <c r="V134" s="73"/>
      <c r="W134" s="73"/>
      <c r="X134" s="73"/>
      <c r="Y134" s="73"/>
      <c r="Z134" s="73"/>
      <c r="AA134" s="70"/>
      <c r="AB134" s="71"/>
      <c r="AC134" s="72"/>
      <c r="AD134" s="73"/>
      <c r="AE134" s="69"/>
      <c r="AF134" s="69">
        <f t="shared" si="21"/>
        <v>6180280.6199999982</v>
      </c>
      <c r="AG134" s="1"/>
      <c r="AH134" s="6"/>
      <c r="AI134" s="4"/>
      <c r="AJ134" s="77"/>
      <c r="AK134" s="78"/>
      <c r="AL134" s="77"/>
      <c r="AM134" s="78"/>
      <c r="AN134" s="14"/>
      <c r="AO134" s="14"/>
      <c r="AP134" s="4"/>
      <c r="AQ134" s="34"/>
      <c r="AR134" s="120" t="s">
        <v>56</v>
      </c>
      <c r="AS134" s="121">
        <f ca="1">+SUMIF(AQ14:AW120,AS131,AR14:AR120)</f>
        <v>2272554.7200000002</v>
      </c>
      <c r="AT134" s="121">
        <f ca="1">+SUMIF(AQ14:AW120,AT131,AR14:AR120)</f>
        <v>243333.56</v>
      </c>
      <c r="AU134" s="121">
        <f t="shared" ref="AU134:AU136" ca="1" si="45">+AS134+AT134</f>
        <v>2515888.2800000003</v>
      </c>
      <c r="AV134" s="34"/>
      <c r="AW134" s="34"/>
      <c r="AX134" s="4"/>
    </row>
    <row r="135" spans="1:50" x14ac:dyDescent="0.3">
      <c r="A135" s="63"/>
      <c r="B135" s="64"/>
      <c r="C135" s="65"/>
      <c r="D135" s="69"/>
      <c r="E135" s="63"/>
      <c r="F135" s="65"/>
      <c r="G135" s="68" t="s">
        <v>79</v>
      </c>
      <c r="H135" s="73"/>
      <c r="I135" s="73"/>
      <c r="J135" s="73"/>
      <c r="K135" s="73"/>
      <c r="L135" s="119"/>
      <c r="M135" s="73"/>
      <c r="N135" s="73"/>
      <c r="O135" s="73"/>
      <c r="P135" s="73"/>
      <c r="Q135" s="73"/>
      <c r="R135" s="73"/>
      <c r="S135" s="73"/>
      <c r="T135" s="73"/>
      <c r="U135" s="73"/>
      <c r="V135" s="73"/>
      <c r="W135" s="73"/>
      <c r="X135" s="73"/>
      <c r="Y135" s="73"/>
      <c r="Z135" s="73"/>
      <c r="AA135" s="70"/>
      <c r="AB135" s="71"/>
      <c r="AC135" s="72"/>
      <c r="AD135" s="73"/>
      <c r="AE135" s="69"/>
      <c r="AF135" s="69">
        <f t="shared" si="21"/>
        <v>6180280.6199999982</v>
      </c>
      <c r="AG135" s="1"/>
      <c r="AH135" s="6"/>
      <c r="AI135" s="4"/>
      <c r="AJ135" s="77"/>
      <c r="AK135" s="78"/>
      <c r="AL135" s="77"/>
      <c r="AM135" s="78"/>
      <c r="AN135" s="14"/>
      <c r="AO135" s="14"/>
      <c r="AP135" s="4"/>
      <c r="AQ135" s="34"/>
      <c r="AR135" s="120" t="s">
        <v>57</v>
      </c>
      <c r="AS135" s="121">
        <f ca="1">+SUMIF(AQ14:AW120,AS131,AS14:AS120)</f>
        <v>224803.62</v>
      </c>
      <c r="AT135" s="121">
        <f ca="1">+SUMIF(AQ14:AW120,AT131,AS14:AS120)</f>
        <v>432191.68</v>
      </c>
      <c r="AU135" s="121">
        <f t="shared" ca="1" si="45"/>
        <v>656995.30000000005</v>
      </c>
      <c r="AV135" s="34"/>
      <c r="AW135" s="34"/>
      <c r="AX135" s="4"/>
    </row>
    <row r="136" spans="1:50" x14ac:dyDescent="0.3">
      <c r="A136" s="79" t="s">
        <v>395</v>
      </c>
      <c r="B136" s="122" t="s">
        <v>396</v>
      </c>
      <c r="C136" s="80" t="s">
        <v>397</v>
      </c>
      <c r="D136" s="25" t="s">
        <v>398</v>
      </c>
      <c r="E136" s="85" t="s">
        <v>384</v>
      </c>
      <c r="F136" s="80" t="s">
        <v>399</v>
      </c>
      <c r="G136" s="82" t="s">
        <v>386</v>
      </c>
      <c r="H136" s="25"/>
      <c r="I136" s="25">
        <v>504.64</v>
      </c>
      <c r="J136" s="25">
        <v>1261.6099999999999</v>
      </c>
      <c r="K136" s="25"/>
      <c r="L136" s="123"/>
      <c r="M136" s="85">
        <f t="shared" ref="M136:M144" si="46">(T136-R136)-Z136</f>
        <v>0</v>
      </c>
      <c r="N136" s="85">
        <f t="shared" ref="N136:N144" si="47">SUM(H136:L136)</f>
        <v>1766.25</v>
      </c>
      <c r="O136" s="25"/>
      <c r="P136" s="25"/>
      <c r="Q136" s="25"/>
      <c r="R136" s="85">
        <f t="shared" ref="R136:R144" si="48">+N136+SUM(O136:Q136)</f>
        <v>1766.25</v>
      </c>
      <c r="S136" s="25"/>
      <c r="T136" s="25">
        <v>28260</v>
      </c>
      <c r="U136" s="25">
        <v>28260</v>
      </c>
      <c r="V136" s="25"/>
      <c r="W136" s="25"/>
      <c r="X136" s="80"/>
      <c r="Y136" s="25"/>
      <c r="Z136" s="85">
        <v>26493.75</v>
      </c>
      <c r="AA136" s="95">
        <v>46051</v>
      </c>
      <c r="AB136" s="88" t="s">
        <v>80</v>
      </c>
      <c r="AC136" s="88" t="s">
        <v>400</v>
      </c>
      <c r="AD136" s="25"/>
      <c r="AE136" s="25"/>
      <c r="AF136" s="69">
        <f t="shared" si="21"/>
        <v>6180280.6199999982</v>
      </c>
      <c r="AG136" s="1"/>
      <c r="AH136" s="6" t="s">
        <v>401</v>
      </c>
      <c r="AI136" s="4"/>
      <c r="AJ136" s="77"/>
      <c r="AK136" s="78"/>
      <c r="AL136" s="77"/>
      <c r="AM136" s="78"/>
      <c r="AN136" s="14"/>
      <c r="AO136" s="14"/>
      <c r="AP136" s="4"/>
      <c r="AQ136" s="34"/>
      <c r="AR136" s="120" t="s">
        <v>58</v>
      </c>
      <c r="AS136" s="121">
        <f ca="1">+SUMIF(AQ14:AW120,AS131,AT14:AT120)</f>
        <v>0</v>
      </c>
      <c r="AT136" s="121">
        <f ca="1">+SUMIF(AQ14:AW120,AT131,AT14:AT120)</f>
        <v>0</v>
      </c>
      <c r="AU136" s="121">
        <f t="shared" ca="1" si="45"/>
        <v>0</v>
      </c>
      <c r="AV136" s="34"/>
      <c r="AW136" s="34"/>
      <c r="AX136" s="4"/>
    </row>
    <row r="137" spans="1:50" x14ac:dyDescent="0.3">
      <c r="A137" s="81">
        <v>10</v>
      </c>
      <c r="B137" s="80" t="s">
        <v>402</v>
      </c>
      <c r="C137" s="80" t="s">
        <v>403</v>
      </c>
      <c r="D137" s="25" t="s">
        <v>398</v>
      </c>
      <c r="E137" s="85" t="s">
        <v>384</v>
      </c>
      <c r="F137" s="80" t="s">
        <v>404</v>
      </c>
      <c r="G137" s="82" t="s">
        <v>386</v>
      </c>
      <c r="H137" s="85"/>
      <c r="I137" s="85">
        <v>174</v>
      </c>
      <c r="J137" s="85">
        <v>870</v>
      </c>
      <c r="K137" s="85"/>
      <c r="L137" s="123"/>
      <c r="M137" s="85">
        <f t="shared" si="46"/>
        <v>0</v>
      </c>
      <c r="N137" s="85">
        <f t="shared" si="47"/>
        <v>1044</v>
      </c>
      <c r="O137" s="85"/>
      <c r="P137" s="85"/>
      <c r="Q137" s="25"/>
      <c r="R137" s="85">
        <f t="shared" si="48"/>
        <v>1044</v>
      </c>
      <c r="S137" s="25"/>
      <c r="T137" s="85">
        <v>19488</v>
      </c>
      <c r="U137" s="85">
        <v>19488</v>
      </c>
      <c r="V137" s="85"/>
      <c r="W137" s="85"/>
      <c r="X137" s="85"/>
      <c r="Y137" s="85"/>
      <c r="Z137" s="85">
        <v>18444</v>
      </c>
      <c r="AA137" s="95">
        <v>46051</v>
      </c>
      <c r="AB137" s="88" t="s">
        <v>80</v>
      </c>
      <c r="AC137" s="88" t="s">
        <v>405</v>
      </c>
      <c r="AD137" s="25"/>
      <c r="AE137" s="25"/>
      <c r="AF137" s="69">
        <f t="shared" si="21"/>
        <v>6180280.6199999982</v>
      </c>
      <c r="AG137" s="1">
        <v>50203080</v>
      </c>
      <c r="AH137" s="6" t="s">
        <v>406</v>
      </c>
      <c r="AI137" s="4"/>
      <c r="AJ137" s="77"/>
      <c r="AK137" s="78"/>
      <c r="AL137" s="77"/>
      <c r="AM137" s="78"/>
      <c r="AN137" s="14"/>
      <c r="AO137" s="14"/>
      <c r="AP137" s="4"/>
      <c r="AQ137" s="34"/>
      <c r="AR137" s="120"/>
      <c r="AS137" s="121"/>
      <c r="AT137" s="121"/>
      <c r="AU137" s="121"/>
      <c r="AV137" s="34"/>
      <c r="AW137" s="34"/>
      <c r="AX137" s="4"/>
    </row>
    <row r="138" spans="1:50" x14ac:dyDescent="0.3">
      <c r="A138" s="81">
        <v>10</v>
      </c>
      <c r="B138" s="80" t="s">
        <v>407</v>
      </c>
      <c r="C138" s="80" t="s">
        <v>408</v>
      </c>
      <c r="D138" s="25" t="s">
        <v>409</v>
      </c>
      <c r="E138" s="85" t="s">
        <v>384</v>
      </c>
      <c r="F138" s="80" t="s">
        <v>410</v>
      </c>
      <c r="G138" s="82" t="s">
        <v>386</v>
      </c>
      <c r="H138" s="85"/>
      <c r="I138" s="85">
        <v>1935.71</v>
      </c>
      <c r="J138" s="85">
        <v>9678.57</v>
      </c>
      <c r="K138" s="85"/>
      <c r="L138" s="123"/>
      <c r="M138" s="85">
        <f t="shared" si="46"/>
        <v>0</v>
      </c>
      <c r="N138" s="85">
        <f t="shared" si="47"/>
        <v>11614.279999999999</v>
      </c>
      <c r="O138" s="85"/>
      <c r="P138" s="85"/>
      <c r="Q138" s="85"/>
      <c r="R138" s="85">
        <f t="shared" si="48"/>
        <v>11614.279999999999</v>
      </c>
      <c r="S138" s="25"/>
      <c r="T138" s="85">
        <v>216800</v>
      </c>
      <c r="U138" s="85">
        <v>216800</v>
      </c>
      <c r="V138" s="80"/>
      <c r="W138" s="85"/>
      <c r="X138" s="85"/>
      <c r="Y138" s="85"/>
      <c r="Z138" s="85">
        <f>216800-11614.28</f>
        <v>205185.72</v>
      </c>
      <c r="AA138" s="95">
        <v>46051</v>
      </c>
      <c r="AB138" s="88" t="s">
        <v>80</v>
      </c>
      <c r="AC138" s="88" t="s">
        <v>411</v>
      </c>
      <c r="AD138" s="25"/>
      <c r="AE138" s="25"/>
      <c r="AF138" s="69">
        <f t="shared" si="21"/>
        <v>6180280.6199999982</v>
      </c>
      <c r="AG138" s="1" t="s">
        <v>412</v>
      </c>
      <c r="AH138" s="6" t="s">
        <v>413</v>
      </c>
      <c r="AI138" s="4"/>
      <c r="AJ138" s="77"/>
      <c r="AK138" s="78"/>
      <c r="AL138" s="77"/>
      <c r="AM138" s="78"/>
      <c r="AN138" s="14"/>
      <c r="AO138" s="14"/>
      <c r="AP138" s="4"/>
      <c r="AQ138" s="34"/>
      <c r="AR138" s="118" t="s">
        <v>69</v>
      </c>
      <c r="AS138" s="121"/>
      <c r="AT138" s="121"/>
      <c r="AU138" s="121">
        <f t="shared" ref="AU138:AU141" si="49">+AS138+AT138</f>
        <v>0</v>
      </c>
      <c r="AV138" s="34"/>
      <c r="AW138" s="34"/>
      <c r="AX138" s="4"/>
    </row>
    <row r="139" spans="1:50" x14ac:dyDescent="0.3">
      <c r="A139" s="81">
        <v>11</v>
      </c>
      <c r="B139" s="80" t="s">
        <v>414</v>
      </c>
      <c r="C139" s="80" t="s">
        <v>403</v>
      </c>
      <c r="D139" s="25" t="s">
        <v>398</v>
      </c>
      <c r="E139" s="85" t="s">
        <v>384</v>
      </c>
      <c r="F139" s="124" t="s">
        <v>415</v>
      </c>
      <c r="G139" s="82" t="s">
        <v>386</v>
      </c>
      <c r="H139" s="85"/>
      <c r="I139" s="85">
        <v>267.86</v>
      </c>
      <c r="J139" s="85">
        <v>1339.29</v>
      </c>
      <c r="K139" s="85"/>
      <c r="L139" s="123"/>
      <c r="M139" s="85">
        <f t="shared" si="46"/>
        <v>0</v>
      </c>
      <c r="N139" s="85">
        <f t="shared" si="47"/>
        <v>1607.15</v>
      </c>
      <c r="O139" s="85"/>
      <c r="P139" s="85"/>
      <c r="Q139" s="85"/>
      <c r="R139" s="85">
        <f t="shared" si="48"/>
        <v>1607.15</v>
      </c>
      <c r="S139" s="25"/>
      <c r="T139" s="85">
        <v>30000</v>
      </c>
      <c r="U139" s="85">
        <v>30000</v>
      </c>
      <c r="V139" s="80"/>
      <c r="W139" s="85"/>
      <c r="X139" s="85"/>
      <c r="Y139" s="85"/>
      <c r="Z139" s="85">
        <f>30000-1607.15</f>
        <v>28392.85</v>
      </c>
      <c r="AA139" s="95">
        <v>46051</v>
      </c>
      <c r="AB139" s="88" t="s">
        <v>80</v>
      </c>
      <c r="AC139" s="88" t="s">
        <v>416</v>
      </c>
      <c r="AD139" s="25"/>
      <c r="AE139" s="25"/>
      <c r="AF139" s="69">
        <f t="shared" si="21"/>
        <v>6180280.6199999982</v>
      </c>
      <c r="AG139" s="1">
        <v>10405130</v>
      </c>
      <c r="AH139" s="6" t="s">
        <v>417</v>
      </c>
      <c r="AI139" s="4"/>
      <c r="AJ139" s="77"/>
      <c r="AK139" s="78"/>
      <c r="AL139" s="77"/>
      <c r="AM139" s="78"/>
      <c r="AN139" s="14"/>
      <c r="AO139" s="14"/>
      <c r="AP139" s="4"/>
      <c r="AQ139" s="34"/>
      <c r="AR139" s="120" t="s">
        <v>56</v>
      </c>
      <c r="AS139" s="121">
        <f ca="1">+SUMIF(AQ14:AW120,AS131,AU14:AU120)</f>
        <v>201902.98</v>
      </c>
      <c r="AT139" s="121">
        <f ca="1">+SUMIF(AQ14:AW120,AT131,AU14:AU120)</f>
        <v>0</v>
      </c>
      <c r="AU139" s="121">
        <f t="shared" ca="1" si="49"/>
        <v>201902.98</v>
      </c>
      <c r="AV139" s="34"/>
      <c r="AW139" s="34"/>
      <c r="AX139" s="4"/>
    </row>
    <row r="140" spans="1:50" x14ac:dyDescent="0.3">
      <c r="A140" s="81">
        <v>11</v>
      </c>
      <c r="B140" s="80" t="s">
        <v>418</v>
      </c>
      <c r="C140" s="80" t="s">
        <v>419</v>
      </c>
      <c r="D140" s="25" t="s">
        <v>398</v>
      </c>
      <c r="E140" s="85" t="s">
        <v>384</v>
      </c>
      <c r="F140" s="80" t="s">
        <v>420</v>
      </c>
      <c r="G140" s="82" t="s">
        <v>386</v>
      </c>
      <c r="H140" s="85"/>
      <c r="I140" s="85">
        <v>374.95</v>
      </c>
      <c r="J140" s="85">
        <v>1874.73</v>
      </c>
      <c r="K140" s="85"/>
      <c r="L140" s="123"/>
      <c r="M140" s="85">
        <f t="shared" si="46"/>
        <v>0</v>
      </c>
      <c r="N140" s="85">
        <f t="shared" si="47"/>
        <v>2249.6799999999998</v>
      </c>
      <c r="O140" s="85"/>
      <c r="P140" s="85"/>
      <c r="Q140" s="85"/>
      <c r="R140" s="85">
        <f t="shared" si="48"/>
        <v>2249.6799999999998</v>
      </c>
      <c r="S140" s="25"/>
      <c r="T140" s="85">
        <v>41994</v>
      </c>
      <c r="U140" s="85">
        <v>41994</v>
      </c>
      <c r="V140" s="80"/>
      <c r="W140" s="85"/>
      <c r="X140" s="85"/>
      <c r="Y140" s="85"/>
      <c r="Z140" s="85">
        <f>41994-2249.68</f>
        <v>39744.32</v>
      </c>
      <c r="AA140" s="95">
        <v>46051</v>
      </c>
      <c r="AB140" s="88" t="s">
        <v>80</v>
      </c>
      <c r="AC140" s="88" t="s">
        <v>421</v>
      </c>
      <c r="AD140" s="25"/>
      <c r="AE140" s="25"/>
      <c r="AF140" s="69">
        <f t="shared" si="21"/>
        <v>6180280.6199999982</v>
      </c>
      <c r="AG140" s="1">
        <v>10406010</v>
      </c>
      <c r="AH140" s="6" t="s">
        <v>422</v>
      </c>
      <c r="AI140" s="4"/>
      <c r="AJ140" s="77"/>
      <c r="AK140" s="78"/>
      <c r="AL140" s="77"/>
      <c r="AM140" s="78"/>
      <c r="AN140" s="14"/>
      <c r="AO140" s="14"/>
      <c r="AP140" s="4"/>
      <c r="AQ140" s="34"/>
      <c r="AR140" s="120" t="s">
        <v>57</v>
      </c>
      <c r="AS140" s="121">
        <f ca="1">+SUMIF(AQ14:AW120,AS131,AV14:AV120)</f>
        <v>1160874.8199999998</v>
      </c>
      <c r="AT140" s="121">
        <f ca="1">+SUMIF(AQ14:AW120,AT131,AV14:AV120)</f>
        <v>0</v>
      </c>
      <c r="AU140" s="121">
        <f t="shared" ca="1" si="49"/>
        <v>1160874.8199999998</v>
      </c>
      <c r="AV140" s="3">
        <f ca="1">SUM(AU139:AU140)</f>
        <v>1362777.7999999998</v>
      </c>
      <c r="AW140" s="34"/>
      <c r="AX140" s="4"/>
    </row>
    <row r="141" spans="1:50" x14ac:dyDescent="0.3">
      <c r="A141" s="81">
        <v>12</v>
      </c>
      <c r="B141" s="80" t="s">
        <v>423</v>
      </c>
      <c r="C141" s="80" t="s">
        <v>424</v>
      </c>
      <c r="D141" s="25" t="s">
        <v>398</v>
      </c>
      <c r="E141" s="85" t="s">
        <v>384</v>
      </c>
      <c r="F141" s="80" t="s">
        <v>425</v>
      </c>
      <c r="G141" s="82" t="s">
        <v>386</v>
      </c>
      <c r="H141" s="85"/>
      <c r="I141" s="85">
        <v>489.73</v>
      </c>
      <c r="J141" s="85">
        <v>2448.66</v>
      </c>
      <c r="K141" s="85"/>
      <c r="L141" s="123"/>
      <c r="M141" s="85">
        <f t="shared" si="46"/>
        <v>0</v>
      </c>
      <c r="N141" s="85">
        <f t="shared" si="47"/>
        <v>2938.39</v>
      </c>
      <c r="O141" s="85"/>
      <c r="P141" s="85"/>
      <c r="Q141" s="85"/>
      <c r="R141" s="85">
        <f t="shared" si="48"/>
        <v>2938.39</v>
      </c>
      <c r="S141" s="25"/>
      <c r="T141" s="85">
        <v>54850</v>
      </c>
      <c r="U141" s="85">
        <v>54850</v>
      </c>
      <c r="V141" s="85"/>
      <c r="W141" s="85"/>
      <c r="X141" s="85"/>
      <c r="Y141" s="85"/>
      <c r="Z141" s="85">
        <v>51911.61</v>
      </c>
      <c r="AA141" s="95">
        <v>46051</v>
      </c>
      <c r="AB141" s="88" t="s">
        <v>80</v>
      </c>
      <c r="AC141" s="88" t="s">
        <v>426</v>
      </c>
      <c r="AD141" s="80"/>
      <c r="AE141" s="25"/>
      <c r="AF141" s="69">
        <f t="shared" si="21"/>
        <v>6180280.6199999982</v>
      </c>
      <c r="AG141" s="1" t="s">
        <v>427</v>
      </c>
      <c r="AH141" s="6" t="s">
        <v>428</v>
      </c>
      <c r="AI141" s="4"/>
      <c r="AJ141" s="77"/>
      <c r="AK141" s="78"/>
      <c r="AL141" s="77"/>
      <c r="AM141" s="78"/>
      <c r="AN141" s="14"/>
      <c r="AO141" s="14"/>
      <c r="AP141" s="4"/>
      <c r="AQ141" s="34"/>
      <c r="AR141" s="120" t="s">
        <v>58</v>
      </c>
      <c r="AS141" s="121">
        <f ca="1">+SUMIF(AQ14:AW120,AS131,AW14:AW120)</f>
        <v>0</v>
      </c>
      <c r="AT141" s="121">
        <f ca="1">+SUMIF(AQ14:AW120,AT131,AW14:AW120)</f>
        <v>0</v>
      </c>
      <c r="AU141" s="125">
        <f t="shared" ca="1" si="49"/>
        <v>0</v>
      </c>
      <c r="AV141" s="34"/>
      <c r="AW141" s="34"/>
      <c r="AX141" s="4"/>
    </row>
    <row r="142" spans="1:50" x14ac:dyDescent="0.3">
      <c r="A142" s="81">
        <v>12</v>
      </c>
      <c r="B142" s="80" t="s">
        <v>429</v>
      </c>
      <c r="C142" s="80" t="s">
        <v>430</v>
      </c>
      <c r="D142" s="25" t="s">
        <v>398</v>
      </c>
      <c r="E142" s="85" t="s">
        <v>384</v>
      </c>
      <c r="F142" s="80" t="s">
        <v>431</v>
      </c>
      <c r="G142" s="82" t="s">
        <v>386</v>
      </c>
      <c r="H142" s="85"/>
      <c r="I142" s="85">
        <f>76.52+29.46</f>
        <v>105.97999999999999</v>
      </c>
      <c r="J142" s="85">
        <v>456.26</v>
      </c>
      <c r="K142" s="85"/>
      <c r="L142" s="123"/>
      <c r="M142" s="85">
        <f t="shared" si="46"/>
        <v>0</v>
      </c>
      <c r="N142" s="85">
        <f t="shared" si="47"/>
        <v>562.24</v>
      </c>
      <c r="O142" s="85"/>
      <c r="P142" s="85"/>
      <c r="Q142" s="85"/>
      <c r="R142" s="85">
        <f t="shared" si="48"/>
        <v>562.24</v>
      </c>
      <c r="S142" s="25"/>
      <c r="T142" s="85">
        <v>10220.16</v>
      </c>
      <c r="U142" s="85">
        <v>10220.16</v>
      </c>
      <c r="V142" s="85"/>
      <c r="W142" s="85"/>
      <c r="X142" s="85"/>
      <c r="Y142" s="85"/>
      <c r="Z142" s="85">
        <f>10220.16-562.24</f>
        <v>9657.92</v>
      </c>
      <c r="AA142" s="95">
        <v>46051</v>
      </c>
      <c r="AB142" s="88" t="s">
        <v>80</v>
      </c>
      <c r="AC142" s="88" t="s">
        <v>432</v>
      </c>
      <c r="AD142" s="80"/>
      <c r="AE142" s="25"/>
      <c r="AF142" s="69">
        <f t="shared" ref="AF142:AF159" si="50">+AF141+AD142-AE142</f>
        <v>6180280.6199999982</v>
      </c>
      <c r="AG142" s="1">
        <v>50213060</v>
      </c>
      <c r="AH142" s="6" t="s">
        <v>433</v>
      </c>
      <c r="AI142" s="4"/>
      <c r="AJ142" s="77"/>
      <c r="AK142" s="78"/>
      <c r="AL142" s="77"/>
      <c r="AM142" s="78"/>
      <c r="AN142" s="14"/>
      <c r="AO142" s="14"/>
      <c r="AP142" s="4"/>
      <c r="AQ142" s="34"/>
      <c r="AR142" s="118"/>
      <c r="AS142" s="121"/>
      <c r="AT142" s="121"/>
      <c r="AU142" s="117"/>
      <c r="AV142" s="34"/>
      <c r="AW142" s="34"/>
      <c r="AX142" s="4"/>
    </row>
    <row r="143" spans="1:50" x14ac:dyDescent="0.3">
      <c r="A143" s="81">
        <v>12</v>
      </c>
      <c r="B143" s="80" t="s">
        <v>434</v>
      </c>
      <c r="C143" s="80" t="s">
        <v>435</v>
      </c>
      <c r="D143" s="25" t="s">
        <v>398</v>
      </c>
      <c r="E143" s="85" t="s">
        <v>384</v>
      </c>
      <c r="F143" s="80" t="s">
        <v>436</v>
      </c>
      <c r="G143" s="82" t="s">
        <v>386</v>
      </c>
      <c r="H143" s="85"/>
      <c r="I143" s="85">
        <v>464.2</v>
      </c>
      <c r="J143" s="85">
        <v>2320.98</v>
      </c>
      <c r="K143" s="85"/>
      <c r="L143" s="123"/>
      <c r="M143" s="85">
        <f t="shared" si="46"/>
        <v>0</v>
      </c>
      <c r="N143" s="85">
        <f t="shared" si="47"/>
        <v>2785.18</v>
      </c>
      <c r="O143" s="85"/>
      <c r="P143" s="85"/>
      <c r="Q143" s="85"/>
      <c r="R143" s="85">
        <f t="shared" si="48"/>
        <v>2785.18</v>
      </c>
      <c r="S143" s="25"/>
      <c r="T143" s="85">
        <v>51990</v>
      </c>
      <c r="U143" s="85">
        <v>51990</v>
      </c>
      <c r="V143" s="85"/>
      <c r="W143" s="85"/>
      <c r="X143" s="85"/>
      <c r="Y143" s="85"/>
      <c r="Z143" s="85">
        <v>49204.82</v>
      </c>
      <c r="AA143" s="95">
        <v>46051</v>
      </c>
      <c r="AB143" s="88" t="s">
        <v>80</v>
      </c>
      <c r="AC143" s="88" t="s">
        <v>437</v>
      </c>
      <c r="AD143" s="80"/>
      <c r="AE143" s="25"/>
      <c r="AF143" s="69">
        <f t="shared" si="50"/>
        <v>6180280.6199999982</v>
      </c>
      <c r="AG143" s="1" t="s">
        <v>427</v>
      </c>
      <c r="AH143" s="6" t="s">
        <v>438</v>
      </c>
      <c r="AI143" s="4"/>
      <c r="AJ143" s="77"/>
      <c r="AK143" s="78"/>
      <c r="AL143" s="77"/>
      <c r="AM143" s="78"/>
      <c r="AN143" s="14"/>
      <c r="AO143" s="14"/>
      <c r="AP143" s="4"/>
      <c r="AQ143" s="34"/>
      <c r="AR143" s="118"/>
      <c r="AS143" s="121">
        <f t="shared" ref="AS143:AU143" ca="1" si="51">SUM(AS134:AS141)</f>
        <v>3860136.14</v>
      </c>
      <c r="AT143" s="121">
        <f t="shared" ca="1" si="51"/>
        <v>675525.24</v>
      </c>
      <c r="AU143" s="121">
        <f t="shared" ca="1" si="51"/>
        <v>4535661.38</v>
      </c>
      <c r="AV143" s="34"/>
      <c r="AW143" s="34"/>
      <c r="AX143" s="4"/>
    </row>
    <row r="144" spans="1:50" x14ac:dyDescent="0.3">
      <c r="A144" s="63"/>
      <c r="B144" s="65"/>
      <c r="C144" s="65"/>
      <c r="D144" s="69"/>
      <c r="E144" s="63"/>
      <c r="F144" s="65"/>
      <c r="G144" s="68" t="s">
        <v>79</v>
      </c>
      <c r="H144" s="73"/>
      <c r="I144" s="73"/>
      <c r="J144" s="73"/>
      <c r="K144" s="73"/>
      <c r="L144" s="119"/>
      <c r="M144" s="73">
        <f t="shared" si="46"/>
        <v>0</v>
      </c>
      <c r="N144" s="73">
        <f t="shared" si="47"/>
        <v>0</v>
      </c>
      <c r="O144" s="73"/>
      <c r="P144" s="73"/>
      <c r="Q144" s="73"/>
      <c r="R144" s="73">
        <f t="shared" si="48"/>
        <v>0</v>
      </c>
      <c r="S144" s="73"/>
      <c r="T144" s="73"/>
      <c r="U144" s="73"/>
      <c r="V144" s="73"/>
      <c r="W144" s="73"/>
      <c r="X144" s="73"/>
      <c r="Y144" s="73"/>
      <c r="Z144" s="73"/>
      <c r="AA144" s="92"/>
      <c r="AB144" s="71"/>
      <c r="AC144" s="72"/>
      <c r="AD144" s="73"/>
      <c r="AE144" s="69"/>
      <c r="AF144" s="69">
        <f>+AF143+AD144-AE144</f>
        <v>6180280.6199999982</v>
      </c>
      <c r="AG144" s="1"/>
      <c r="AH144" s="6"/>
      <c r="AI144" s="4"/>
      <c r="AJ144" s="77"/>
      <c r="AK144" s="78"/>
      <c r="AL144" s="77"/>
      <c r="AM144" s="78"/>
      <c r="AN144" s="14"/>
      <c r="AO144" s="14"/>
      <c r="AP144" s="4"/>
      <c r="AQ144" s="34"/>
      <c r="AR144" s="118"/>
      <c r="AS144" s="121"/>
      <c r="AT144" s="121"/>
      <c r="AU144" s="121"/>
      <c r="AV144" s="34"/>
      <c r="AW144" s="34"/>
      <c r="AX144" s="4"/>
    </row>
    <row r="145" spans="1:50" x14ac:dyDescent="0.3">
      <c r="A145" s="63"/>
      <c r="B145" s="65"/>
      <c r="C145" s="65"/>
      <c r="D145" s="69"/>
      <c r="E145" s="63"/>
      <c r="F145" s="65"/>
      <c r="G145" s="68" t="s">
        <v>79</v>
      </c>
      <c r="H145" s="98">
        <f t="shared" ref="H145:U145" si="52">SUM(H136:H143)</f>
        <v>0</v>
      </c>
      <c r="I145" s="98">
        <f t="shared" si="52"/>
        <v>4317.07</v>
      </c>
      <c r="J145" s="98">
        <f t="shared" si="52"/>
        <v>20250.099999999999</v>
      </c>
      <c r="K145" s="98">
        <f t="shared" si="52"/>
        <v>0</v>
      </c>
      <c r="L145" s="126">
        <f t="shared" si="52"/>
        <v>0</v>
      </c>
      <c r="M145" s="98">
        <f t="shared" si="52"/>
        <v>0</v>
      </c>
      <c r="N145" s="98">
        <f t="shared" si="52"/>
        <v>24567.17</v>
      </c>
      <c r="O145" s="98">
        <f t="shared" si="52"/>
        <v>0</v>
      </c>
      <c r="P145" s="98">
        <f t="shared" si="52"/>
        <v>0</v>
      </c>
      <c r="Q145" s="98">
        <f t="shared" si="52"/>
        <v>0</v>
      </c>
      <c r="R145" s="98">
        <f t="shared" si="52"/>
        <v>24567.17</v>
      </c>
      <c r="S145" s="98">
        <f t="shared" si="52"/>
        <v>0</v>
      </c>
      <c r="T145" s="98">
        <f t="shared" si="52"/>
        <v>453602.16</v>
      </c>
      <c r="U145" s="98">
        <f t="shared" si="52"/>
        <v>453602.16</v>
      </c>
      <c r="V145" s="73"/>
      <c r="W145" s="73"/>
      <c r="X145" s="73"/>
      <c r="Y145" s="73"/>
      <c r="Z145" s="73"/>
      <c r="AA145" s="92"/>
      <c r="AB145" s="71"/>
      <c r="AC145" s="72"/>
      <c r="AD145" s="73"/>
      <c r="AE145" s="69"/>
      <c r="AF145" s="69">
        <f t="shared" si="50"/>
        <v>6180280.6199999982</v>
      </c>
      <c r="AG145" s="1"/>
      <c r="AH145" s="6"/>
      <c r="AI145" s="4"/>
      <c r="AJ145" s="77"/>
      <c r="AK145" s="78"/>
      <c r="AL145" s="77"/>
      <c r="AM145" s="78"/>
      <c r="AN145" s="14"/>
      <c r="AO145" s="14"/>
      <c r="AP145" s="4"/>
      <c r="AQ145" s="34"/>
      <c r="AR145" s="118" t="s">
        <v>439</v>
      </c>
      <c r="AS145" s="121">
        <v>3860136.14</v>
      </c>
      <c r="AT145" s="121">
        <v>675525.24</v>
      </c>
      <c r="AU145" s="121">
        <f>+AS145+AT145</f>
        <v>4535661.38</v>
      </c>
      <c r="AV145" s="34"/>
      <c r="AW145" s="34"/>
      <c r="AX145" s="4"/>
    </row>
    <row r="146" spans="1:50" x14ac:dyDescent="0.3">
      <c r="A146" s="63"/>
      <c r="B146" s="65"/>
      <c r="C146" s="65"/>
      <c r="D146" s="69"/>
      <c r="E146" s="63"/>
      <c r="F146" s="127" t="s">
        <v>440</v>
      </c>
      <c r="G146" s="128"/>
      <c r="H146" s="129">
        <f>+H122+H132+H145</f>
        <v>268453.95</v>
      </c>
      <c r="I146" s="129">
        <f>+I122+I132+I145</f>
        <v>7016</v>
      </c>
      <c r="J146" s="129">
        <f>+J122+J132+J145</f>
        <v>30351.589999999997</v>
      </c>
      <c r="K146" s="129">
        <f>+K122+K132+K145</f>
        <v>912</v>
      </c>
      <c r="L146" s="126"/>
      <c r="M146" s="98"/>
      <c r="N146" s="98"/>
      <c r="O146" s="98"/>
      <c r="P146" s="98"/>
      <c r="Q146" s="98"/>
      <c r="R146" s="98"/>
      <c r="S146" s="98"/>
      <c r="T146" s="98"/>
      <c r="U146" s="98"/>
      <c r="V146" s="73"/>
      <c r="W146" s="73"/>
      <c r="X146" s="73"/>
      <c r="Y146" s="73"/>
      <c r="Z146" s="73"/>
      <c r="AA146" s="92"/>
      <c r="AB146" s="71"/>
      <c r="AC146" s="72"/>
      <c r="AD146" s="73"/>
      <c r="AE146" s="69"/>
      <c r="AF146" s="69">
        <f t="shared" si="50"/>
        <v>6180280.6199999982</v>
      </c>
      <c r="AG146" s="1"/>
      <c r="AH146" s="6"/>
      <c r="AI146" s="4"/>
      <c r="AJ146" s="77"/>
      <c r="AK146" s="78"/>
      <c r="AL146" s="77"/>
      <c r="AM146" s="78"/>
      <c r="AN146" s="14"/>
      <c r="AO146" s="14"/>
      <c r="AP146" s="4"/>
      <c r="AQ146" s="34"/>
      <c r="AR146" s="118"/>
      <c r="AS146" s="121"/>
      <c r="AT146" s="121"/>
      <c r="AU146" s="121"/>
      <c r="AV146" s="34"/>
      <c r="AW146" s="34"/>
      <c r="AX146" s="4"/>
    </row>
    <row r="147" spans="1:50" x14ac:dyDescent="0.3">
      <c r="A147" s="63"/>
      <c r="B147" s="65"/>
      <c r="C147" s="65"/>
      <c r="D147" s="69"/>
      <c r="E147" s="63"/>
      <c r="F147" s="65"/>
      <c r="G147" s="68" t="s">
        <v>79</v>
      </c>
      <c r="H147" s="73">
        <f>+SUM(H146:K146)</f>
        <v>306733.54000000004</v>
      </c>
      <c r="I147" s="73"/>
      <c r="J147" s="130">
        <f>+SUM(J146:K146)</f>
        <v>31263.589999999997</v>
      </c>
      <c r="K147" s="73"/>
      <c r="L147" s="73"/>
      <c r="M147" s="131"/>
      <c r="N147" s="131">
        <f>+N145+N132</f>
        <v>25864.309999999998</v>
      </c>
      <c r="O147" s="131"/>
      <c r="P147" s="131"/>
      <c r="Q147" s="131"/>
      <c r="R147" s="131"/>
      <c r="S147" s="131"/>
      <c r="T147" s="131">
        <f>+T145+T132</f>
        <v>479602.16</v>
      </c>
      <c r="U147" s="131"/>
      <c r="V147" s="131"/>
      <c r="W147" s="131"/>
      <c r="X147" s="131"/>
      <c r="Y147" s="73"/>
      <c r="Z147" s="73"/>
      <c r="AA147" s="92"/>
      <c r="AB147" s="71"/>
      <c r="AC147" s="72"/>
      <c r="AD147" s="73"/>
      <c r="AE147" s="69"/>
      <c r="AF147" s="69">
        <f t="shared" si="50"/>
        <v>6180280.6199999982</v>
      </c>
      <c r="AG147" s="1"/>
      <c r="AH147" s="6"/>
      <c r="AI147" s="4"/>
      <c r="AJ147" s="77"/>
      <c r="AK147" s="78"/>
      <c r="AL147" s="77"/>
      <c r="AM147" s="78"/>
      <c r="AN147" s="14"/>
      <c r="AO147" s="14"/>
      <c r="AP147" s="4"/>
      <c r="AQ147" s="34"/>
      <c r="AR147" s="118"/>
      <c r="AS147" s="121">
        <f ca="1">+AS143-AS145</f>
        <v>0</v>
      </c>
      <c r="AT147" s="121">
        <f ca="1">+AT143-AT145</f>
        <v>0</v>
      </c>
      <c r="AU147" s="121">
        <f ca="1">+AU143-AU145</f>
        <v>0</v>
      </c>
      <c r="AV147" s="34"/>
      <c r="AW147" s="34"/>
      <c r="AX147" s="4"/>
    </row>
    <row r="148" spans="1:50" x14ac:dyDescent="0.3">
      <c r="A148" s="63"/>
      <c r="B148" s="64"/>
      <c r="C148" s="74" t="s">
        <v>441</v>
      </c>
      <c r="D148" s="69"/>
      <c r="E148" s="63"/>
      <c r="F148" s="65"/>
      <c r="G148" s="68" t="s">
        <v>79</v>
      </c>
      <c r="H148" s="73"/>
      <c r="I148" s="73"/>
      <c r="J148" s="73"/>
      <c r="K148" s="73"/>
      <c r="L148" s="73"/>
      <c r="M148" s="73">
        <f t="shared" ref="M148:M159" si="53">(T148-R148)-Z148</f>
        <v>0</v>
      </c>
      <c r="N148" s="73">
        <f t="shared" ref="N148:N155" si="54">SUM(H148:L148)</f>
        <v>0</v>
      </c>
      <c r="O148" s="73"/>
      <c r="P148" s="73"/>
      <c r="Q148" s="73"/>
      <c r="R148" s="73">
        <f t="shared" ref="R148:R155" si="55">+N148+SUM(O148:Q148)</f>
        <v>0</v>
      </c>
      <c r="S148" s="73"/>
      <c r="T148" s="73"/>
      <c r="U148" s="73"/>
      <c r="V148" s="73"/>
      <c r="W148" s="73"/>
      <c r="X148" s="73"/>
      <c r="Y148" s="73"/>
      <c r="Z148" s="73"/>
      <c r="AA148" s="92"/>
      <c r="AB148" s="71"/>
      <c r="AC148" s="72"/>
      <c r="AD148" s="73"/>
      <c r="AE148" s="69"/>
      <c r="AF148" s="69">
        <f t="shared" si="50"/>
        <v>6180280.6199999982</v>
      </c>
      <c r="AG148" s="1"/>
      <c r="AH148" s="6"/>
      <c r="AI148" s="4"/>
      <c r="AJ148" s="77"/>
      <c r="AK148" s="78"/>
      <c r="AL148" s="77"/>
      <c r="AM148" s="78"/>
      <c r="AN148" s="14"/>
      <c r="AO148" s="14"/>
      <c r="AP148" s="4"/>
      <c r="AQ148" s="34"/>
      <c r="AR148" s="34"/>
      <c r="AS148" s="34"/>
      <c r="AT148" s="34"/>
      <c r="AU148" s="34"/>
      <c r="AV148" s="34"/>
      <c r="AW148" s="34"/>
      <c r="AX148" s="4"/>
    </row>
    <row r="149" spans="1:50" x14ac:dyDescent="0.3">
      <c r="A149" s="63"/>
      <c r="B149" s="64"/>
      <c r="C149" s="65"/>
      <c r="D149" s="69"/>
      <c r="E149" s="63"/>
      <c r="F149" s="65"/>
      <c r="G149" s="68" t="s">
        <v>79</v>
      </c>
      <c r="H149" s="73"/>
      <c r="I149" s="73"/>
      <c r="J149" s="73"/>
      <c r="K149" s="73"/>
      <c r="L149" s="73"/>
      <c r="M149" s="73">
        <f t="shared" si="53"/>
        <v>0</v>
      </c>
      <c r="N149" s="73">
        <f t="shared" si="54"/>
        <v>0</v>
      </c>
      <c r="O149" s="73"/>
      <c r="P149" s="73"/>
      <c r="Q149" s="73"/>
      <c r="R149" s="73">
        <f t="shared" si="55"/>
        <v>0</v>
      </c>
      <c r="S149" s="73"/>
      <c r="T149" s="73"/>
      <c r="U149" s="73"/>
      <c r="V149" s="73"/>
      <c r="W149" s="73"/>
      <c r="X149" s="73"/>
      <c r="Y149" s="73"/>
      <c r="Z149" s="73"/>
      <c r="AA149" s="92"/>
      <c r="AB149" s="71"/>
      <c r="AC149" s="72"/>
      <c r="AD149" s="73"/>
      <c r="AE149" s="69"/>
      <c r="AF149" s="69">
        <f t="shared" si="50"/>
        <v>6180280.6199999982</v>
      </c>
      <c r="AG149" s="1"/>
      <c r="AH149" s="6"/>
      <c r="AI149" s="4"/>
      <c r="AJ149" s="77"/>
      <c r="AK149" s="78"/>
      <c r="AL149" s="77"/>
      <c r="AM149" s="78"/>
      <c r="AN149" s="14"/>
      <c r="AO149" s="14"/>
      <c r="AP149" s="4"/>
      <c r="AQ149" s="34"/>
      <c r="AR149" s="34"/>
      <c r="AS149" s="34"/>
      <c r="AT149" s="34"/>
      <c r="AU149" s="34"/>
      <c r="AV149" s="34"/>
      <c r="AW149" s="34"/>
      <c r="AX149" s="4"/>
    </row>
    <row r="150" spans="1:50" x14ac:dyDescent="0.3">
      <c r="A150" s="132" t="s">
        <v>80</v>
      </c>
      <c r="B150" s="133" t="s">
        <v>442</v>
      </c>
      <c r="C150" s="134" t="s">
        <v>443</v>
      </c>
      <c r="D150" s="16" t="s">
        <v>83</v>
      </c>
      <c r="E150" s="135" t="s">
        <v>444</v>
      </c>
      <c r="F150" s="134" t="s">
        <v>445</v>
      </c>
      <c r="G150" s="136" t="s">
        <v>446</v>
      </c>
      <c r="H150" s="135"/>
      <c r="I150" s="135"/>
      <c r="J150" s="135"/>
      <c r="K150" s="135"/>
      <c r="L150" s="135"/>
      <c r="M150" s="135">
        <f t="shared" si="53"/>
        <v>18000</v>
      </c>
      <c r="N150" s="135">
        <f t="shared" si="54"/>
        <v>0</v>
      </c>
      <c r="O150" s="135"/>
      <c r="P150" s="135"/>
      <c r="Q150" s="135"/>
      <c r="R150" s="135">
        <f t="shared" si="55"/>
        <v>0</v>
      </c>
      <c r="S150" s="135"/>
      <c r="T150" s="135">
        <v>18000</v>
      </c>
      <c r="U150" s="135"/>
      <c r="V150" s="135"/>
      <c r="W150" s="135">
        <v>18000</v>
      </c>
      <c r="X150" s="135"/>
      <c r="Y150" s="135"/>
      <c r="Z150" s="135"/>
      <c r="AA150" s="137"/>
      <c r="AB150" s="138"/>
      <c r="AC150" s="139"/>
      <c r="AD150" s="135"/>
      <c r="AE150" s="16"/>
      <c r="AF150" s="69">
        <f t="shared" si="50"/>
        <v>6180280.6199999982</v>
      </c>
      <c r="AG150" s="1"/>
      <c r="AH150" s="6"/>
      <c r="AI150" s="4"/>
      <c r="AJ150" s="77"/>
      <c r="AK150" s="78"/>
      <c r="AL150" s="77"/>
      <c r="AM150" s="78"/>
      <c r="AN150" s="14"/>
      <c r="AO150" s="14"/>
      <c r="AP150" s="4"/>
      <c r="AQ150" s="34"/>
      <c r="AR150" s="34"/>
      <c r="AS150" s="34"/>
      <c r="AT150" s="34"/>
      <c r="AU150" s="34"/>
      <c r="AV150" s="34"/>
      <c r="AW150" s="34"/>
      <c r="AX150" s="4"/>
    </row>
    <row r="151" spans="1:50" x14ac:dyDescent="0.3">
      <c r="A151" s="132" t="s">
        <v>80</v>
      </c>
      <c r="B151" s="133" t="s">
        <v>447</v>
      </c>
      <c r="C151" s="134" t="s">
        <v>448</v>
      </c>
      <c r="D151" s="16" t="s">
        <v>83</v>
      </c>
      <c r="E151" s="135" t="s">
        <v>444</v>
      </c>
      <c r="F151" s="134" t="s">
        <v>449</v>
      </c>
      <c r="G151" s="136" t="s">
        <v>446</v>
      </c>
      <c r="H151" s="135"/>
      <c r="I151" s="135"/>
      <c r="J151" s="135"/>
      <c r="K151" s="135"/>
      <c r="L151" s="135"/>
      <c r="M151" s="135">
        <f t="shared" si="53"/>
        <v>16000</v>
      </c>
      <c r="N151" s="135">
        <f t="shared" si="54"/>
        <v>0</v>
      </c>
      <c r="O151" s="135"/>
      <c r="P151" s="135"/>
      <c r="Q151" s="135"/>
      <c r="R151" s="135">
        <f t="shared" si="55"/>
        <v>0</v>
      </c>
      <c r="S151" s="135"/>
      <c r="T151" s="135">
        <v>16000</v>
      </c>
      <c r="U151" s="135"/>
      <c r="V151" s="135"/>
      <c r="W151" s="135">
        <v>16000</v>
      </c>
      <c r="X151" s="135"/>
      <c r="Y151" s="135"/>
      <c r="Z151" s="135"/>
      <c r="AA151" s="140"/>
      <c r="AB151" s="138"/>
      <c r="AC151" s="139"/>
      <c r="AD151" s="135"/>
      <c r="AE151" s="16"/>
      <c r="AF151" s="69">
        <f t="shared" si="50"/>
        <v>6180280.6199999982</v>
      </c>
      <c r="AG151" s="1"/>
      <c r="AH151" s="6"/>
      <c r="AI151" s="4"/>
      <c r="AJ151" s="77"/>
      <c r="AK151" s="78"/>
      <c r="AL151" s="77"/>
      <c r="AM151" s="78"/>
      <c r="AN151" s="14"/>
      <c r="AO151" s="14"/>
      <c r="AP151" s="4"/>
      <c r="AQ151" s="34"/>
      <c r="AR151" s="34"/>
      <c r="AS151" s="34"/>
      <c r="AT151" s="34"/>
      <c r="AU151" s="34"/>
      <c r="AV151" s="34"/>
      <c r="AW151" s="34"/>
      <c r="AX151" s="4"/>
    </row>
    <row r="152" spans="1:50" x14ac:dyDescent="0.3">
      <c r="A152" s="132" t="s">
        <v>80</v>
      </c>
      <c r="B152" s="133" t="s">
        <v>450</v>
      </c>
      <c r="C152" s="134" t="s">
        <v>424</v>
      </c>
      <c r="D152" s="16" t="s">
        <v>83</v>
      </c>
      <c r="E152" s="135" t="s">
        <v>444</v>
      </c>
      <c r="F152" s="134" t="s">
        <v>451</v>
      </c>
      <c r="G152" s="136" t="s">
        <v>446</v>
      </c>
      <c r="H152" s="135"/>
      <c r="I152" s="135"/>
      <c r="J152" s="135"/>
      <c r="K152" s="135"/>
      <c r="L152" s="135"/>
      <c r="M152" s="135">
        <f t="shared" si="53"/>
        <v>1400</v>
      </c>
      <c r="N152" s="135">
        <f t="shared" si="54"/>
        <v>0</v>
      </c>
      <c r="O152" s="135"/>
      <c r="P152" s="135"/>
      <c r="Q152" s="135"/>
      <c r="R152" s="135">
        <f t="shared" si="55"/>
        <v>0</v>
      </c>
      <c r="S152" s="135"/>
      <c r="T152" s="135">
        <v>1400</v>
      </c>
      <c r="U152" s="135"/>
      <c r="V152" s="135"/>
      <c r="W152" s="135">
        <v>1400</v>
      </c>
      <c r="X152" s="135"/>
      <c r="Y152" s="135"/>
      <c r="Z152" s="135"/>
      <c r="AA152" s="140"/>
      <c r="AB152" s="138"/>
      <c r="AC152" s="139"/>
      <c r="AD152" s="135"/>
      <c r="AE152" s="16"/>
      <c r="AF152" s="69">
        <f t="shared" si="50"/>
        <v>6180280.6199999982</v>
      </c>
      <c r="AG152" s="1"/>
      <c r="AH152" s="6"/>
      <c r="AI152" s="4"/>
      <c r="AJ152" s="77"/>
      <c r="AK152" s="78"/>
      <c r="AL152" s="77"/>
      <c r="AM152" s="78"/>
      <c r="AN152" s="14"/>
      <c r="AO152" s="14"/>
      <c r="AP152" s="4"/>
      <c r="AQ152" s="34"/>
      <c r="AR152" s="34"/>
      <c r="AS152" s="34"/>
      <c r="AT152" s="34"/>
      <c r="AU152" s="34"/>
      <c r="AV152" s="34"/>
      <c r="AW152" s="34"/>
      <c r="AX152" s="4"/>
    </row>
    <row r="153" spans="1:50" x14ac:dyDescent="0.3">
      <c r="A153" s="132" t="s">
        <v>80</v>
      </c>
      <c r="B153" s="133" t="s">
        <v>452</v>
      </c>
      <c r="C153" s="134" t="s">
        <v>453</v>
      </c>
      <c r="D153" s="16" t="s">
        <v>58</v>
      </c>
      <c r="E153" s="141"/>
      <c r="F153" s="134" t="s">
        <v>454</v>
      </c>
      <c r="G153" s="136" t="s">
        <v>446</v>
      </c>
      <c r="H153" s="135"/>
      <c r="I153" s="135"/>
      <c r="J153" s="135"/>
      <c r="K153" s="135"/>
      <c r="L153" s="135"/>
      <c r="M153" s="135">
        <f t="shared" si="53"/>
        <v>3888888</v>
      </c>
      <c r="N153" s="135">
        <f t="shared" si="54"/>
        <v>0</v>
      </c>
      <c r="O153" s="135"/>
      <c r="P153" s="135"/>
      <c r="Q153" s="135"/>
      <c r="R153" s="135">
        <f t="shared" si="55"/>
        <v>0</v>
      </c>
      <c r="S153" s="135"/>
      <c r="T153" s="135">
        <v>3888888</v>
      </c>
      <c r="U153" s="135"/>
      <c r="V153" s="135"/>
      <c r="W153" s="135">
        <v>3888888</v>
      </c>
      <c r="X153" s="135"/>
      <c r="Y153" s="135"/>
      <c r="Z153" s="135"/>
      <c r="AA153" s="140"/>
      <c r="AB153" s="138"/>
      <c r="AC153" s="139"/>
      <c r="AD153" s="135"/>
      <c r="AE153" s="16"/>
      <c r="AF153" s="69">
        <f t="shared" si="50"/>
        <v>6180280.6199999982</v>
      </c>
      <c r="AG153" s="1"/>
      <c r="AH153" s="6"/>
      <c r="AI153" s="4"/>
      <c r="AJ153" s="77"/>
      <c r="AK153" s="78"/>
      <c r="AL153" s="77"/>
      <c r="AM153" s="78"/>
      <c r="AN153" s="14"/>
      <c r="AO153" s="14"/>
      <c r="AP153" s="4"/>
      <c r="AQ153" s="34"/>
      <c r="AR153" s="34"/>
      <c r="AS153" s="34"/>
      <c r="AT153" s="34"/>
      <c r="AU153" s="34"/>
      <c r="AV153" s="34"/>
      <c r="AW153" s="34"/>
      <c r="AX153" s="4"/>
    </row>
    <row r="154" spans="1:50" x14ac:dyDescent="0.3">
      <c r="A154" s="132" t="s">
        <v>80</v>
      </c>
      <c r="B154" s="134" t="s">
        <v>455</v>
      </c>
      <c r="C154" s="134" t="s">
        <v>456</v>
      </c>
      <c r="D154" s="16" t="s">
        <v>83</v>
      </c>
      <c r="E154" s="135" t="s">
        <v>457</v>
      </c>
      <c r="F154" s="134" t="s">
        <v>458</v>
      </c>
      <c r="G154" s="136" t="s">
        <v>446</v>
      </c>
      <c r="H154" s="135"/>
      <c r="I154" s="135"/>
      <c r="J154" s="135"/>
      <c r="K154" s="135"/>
      <c r="L154" s="135"/>
      <c r="M154" s="135">
        <f t="shared" si="53"/>
        <v>4545.99</v>
      </c>
      <c r="N154" s="135">
        <f t="shared" si="54"/>
        <v>0</v>
      </c>
      <c r="O154" s="135"/>
      <c r="P154" s="135"/>
      <c r="Q154" s="135"/>
      <c r="R154" s="135">
        <f t="shared" si="55"/>
        <v>0</v>
      </c>
      <c r="S154" s="135"/>
      <c r="T154" s="135">
        <v>4545.99</v>
      </c>
      <c r="U154" s="135"/>
      <c r="V154" s="135"/>
      <c r="W154" s="135">
        <v>4545.99</v>
      </c>
      <c r="X154" s="135"/>
      <c r="Y154" s="135"/>
      <c r="Z154" s="135"/>
      <c r="AA154" s="137"/>
      <c r="AB154" s="138"/>
      <c r="AC154" s="139"/>
      <c r="AD154" s="135"/>
      <c r="AE154" s="16"/>
      <c r="AF154" s="69">
        <f t="shared" si="50"/>
        <v>6180280.6199999982</v>
      </c>
      <c r="AG154" s="1"/>
      <c r="AH154" s="6"/>
      <c r="AI154" s="4"/>
      <c r="AJ154" s="77"/>
      <c r="AK154" s="78"/>
      <c r="AL154" s="77"/>
      <c r="AM154" s="78"/>
      <c r="AN154" s="14"/>
      <c r="AO154" s="14"/>
      <c r="AP154" s="4"/>
      <c r="AQ154" s="34"/>
      <c r="AR154" s="34"/>
      <c r="AS154" s="34"/>
      <c r="AT154" s="34"/>
      <c r="AU154" s="34"/>
      <c r="AV154" s="34"/>
      <c r="AW154" s="34"/>
      <c r="AX154" s="4"/>
    </row>
    <row r="155" spans="1:50" x14ac:dyDescent="0.3">
      <c r="A155" s="63"/>
      <c r="B155" s="65"/>
      <c r="C155" s="65"/>
      <c r="D155" s="69"/>
      <c r="E155" s="63"/>
      <c r="F155" s="65"/>
      <c r="G155" s="68" t="s">
        <v>79</v>
      </c>
      <c r="H155" s="73"/>
      <c r="I155" s="73"/>
      <c r="J155" s="73"/>
      <c r="K155" s="73"/>
      <c r="L155" s="73"/>
      <c r="M155" s="73">
        <f t="shared" si="53"/>
        <v>0</v>
      </c>
      <c r="N155" s="73">
        <f t="shared" si="54"/>
        <v>0</v>
      </c>
      <c r="O155" s="73"/>
      <c r="P155" s="73"/>
      <c r="Q155" s="73"/>
      <c r="R155" s="73">
        <f t="shared" si="55"/>
        <v>0</v>
      </c>
      <c r="S155" s="73"/>
      <c r="T155" s="73"/>
      <c r="U155" s="73"/>
      <c r="V155" s="73"/>
      <c r="W155" s="73"/>
      <c r="X155" s="73"/>
      <c r="Y155" s="73"/>
      <c r="Z155" s="73"/>
      <c r="AA155" s="92"/>
      <c r="AB155" s="71"/>
      <c r="AC155" s="72"/>
      <c r="AD155" s="73"/>
      <c r="AE155" s="69"/>
      <c r="AF155" s="69">
        <f t="shared" si="50"/>
        <v>6180280.6199999982</v>
      </c>
      <c r="AG155" s="1"/>
      <c r="AH155" s="6"/>
      <c r="AI155" s="4"/>
      <c r="AJ155" s="77"/>
      <c r="AK155" s="78"/>
      <c r="AL155" s="77"/>
      <c r="AM155" s="78"/>
      <c r="AN155" s="14"/>
      <c r="AO155" s="14"/>
      <c r="AP155" s="4"/>
      <c r="AQ155" s="34"/>
      <c r="AR155" s="34"/>
      <c r="AS155" s="34"/>
      <c r="AT155" s="34"/>
      <c r="AU155" s="34"/>
      <c r="AV155" s="34"/>
      <c r="AW155" s="34"/>
      <c r="AX155" s="4"/>
    </row>
    <row r="156" spans="1:50" x14ac:dyDescent="0.3">
      <c r="A156" s="63"/>
      <c r="B156" s="65"/>
      <c r="C156" s="65"/>
      <c r="D156" s="69"/>
      <c r="E156" s="63"/>
      <c r="F156" s="65"/>
      <c r="G156" s="68" t="s">
        <v>79</v>
      </c>
      <c r="H156" s="73"/>
      <c r="I156" s="73"/>
      <c r="J156" s="73"/>
      <c r="K156" s="73"/>
      <c r="L156" s="73"/>
      <c r="M156" s="73">
        <f t="shared" si="53"/>
        <v>3928833.99</v>
      </c>
      <c r="N156" s="73"/>
      <c r="O156" s="73"/>
      <c r="P156" s="73"/>
      <c r="Q156" s="73"/>
      <c r="R156" s="73"/>
      <c r="S156" s="73"/>
      <c r="T156" s="98">
        <f>SUM(T150:T155)</f>
        <v>3928833.99</v>
      </c>
      <c r="U156" s="73"/>
      <c r="V156" s="73"/>
      <c r="W156" s="73"/>
      <c r="X156" s="73"/>
      <c r="Y156" s="73"/>
      <c r="Z156" s="73"/>
      <c r="AA156" s="92"/>
      <c r="AB156" s="71"/>
      <c r="AC156" s="72"/>
      <c r="AD156" s="73"/>
      <c r="AE156" s="69"/>
      <c r="AF156" s="69">
        <f t="shared" si="50"/>
        <v>6180280.6199999982</v>
      </c>
      <c r="AG156" s="1"/>
      <c r="AH156" s="6"/>
      <c r="AI156" s="4"/>
      <c r="AJ156" s="77"/>
      <c r="AK156" s="78"/>
      <c r="AL156" s="77"/>
      <c r="AM156" s="78"/>
      <c r="AN156" s="14"/>
      <c r="AO156" s="14"/>
      <c r="AP156" s="4"/>
      <c r="AQ156" s="34"/>
      <c r="AR156" s="34"/>
      <c r="AS156" s="34"/>
      <c r="AT156" s="34"/>
      <c r="AU156" s="34"/>
      <c r="AV156" s="34"/>
      <c r="AW156" s="34"/>
      <c r="AX156" s="4"/>
    </row>
    <row r="157" spans="1:50" x14ac:dyDescent="0.3">
      <c r="A157" s="63"/>
      <c r="B157" s="65"/>
      <c r="C157" s="65"/>
      <c r="D157" s="69"/>
      <c r="E157" s="63"/>
      <c r="F157" s="65"/>
      <c r="G157" s="68" t="s">
        <v>79</v>
      </c>
      <c r="H157" s="73"/>
      <c r="I157" s="73"/>
      <c r="J157" s="73"/>
      <c r="K157" s="73"/>
      <c r="L157" s="73"/>
      <c r="M157" s="73">
        <f t="shared" si="53"/>
        <v>0</v>
      </c>
      <c r="N157" s="73">
        <f t="shared" ref="N157:N159" si="56">SUM(H157:L157)</f>
        <v>0</v>
      </c>
      <c r="O157" s="73"/>
      <c r="P157" s="73"/>
      <c r="Q157" s="73"/>
      <c r="R157" s="73">
        <f t="shared" ref="R157:R159" si="57">+N157+SUM(O157:Q157)</f>
        <v>0</v>
      </c>
      <c r="S157" s="73"/>
      <c r="T157" s="73"/>
      <c r="U157" s="73"/>
      <c r="V157" s="73"/>
      <c r="W157" s="73"/>
      <c r="X157" s="73"/>
      <c r="Y157" s="73"/>
      <c r="Z157" s="73"/>
      <c r="AA157" s="92"/>
      <c r="AB157" s="71"/>
      <c r="AC157" s="72"/>
      <c r="AD157" s="73"/>
      <c r="AE157" s="69"/>
      <c r="AF157" s="69">
        <f t="shared" si="50"/>
        <v>6180280.6199999982</v>
      </c>
      <c r="AG157" s="1"/>
      <c r="AH157" s="6"/>
      <c r="AI157" s="4"/>
      <c r="AJ157" s="77"/>
      <c r="AK157" s="78"/>
      <c r="AL157" s="77"/>
      <c r="AM157" s="78"/>
      <c r="AN157" s="14"/>
      <c r="AO157" s="14"/>
      <c r="AP157" s="4"/>
      <c r="AQ157" s="34"/>
      <c r="AR157" s="34"/>
      <c r="AS157" s="34"/>
      <c r="AT157" s="34"/>
      <c r="AU157" s="34"/>
      <c r="AV157" s="34"/>
      <c r="AW157" s="34"/>
      <c r="AX157" s="4"/>
    </row>
    <row r="158" spans="1:50" x14ac:dyDescent="0.3">
      <c r="A158" s="63"/>
      <c r="B158" s="65"/>
      <c r="C158" s="65" t="s">
        <v>459</v>
      </c>
      <c r="D158" s="73">
        <f>Y122+T132+T156</f>
        <v>7408586.7999999998</v>
      </c>
      <c r="E158" s="63"/>
      <c r="F158" s="65"/>
      <c r="G158" s="68" t="s">
        <v>79</v>
      </c>
      <c r="H158" s="73"/>
      <c r="I158" s="73"/>
      <c r="J158" s="73"/>
      <c r="K158" s="73"/>
      <c r="L158" s="73"/>
      <c r="M158" s="73">
        <f t="shared" si="53"/>
        <v>0</v>
      </c>
      <c r="N158" s="73">
        <f t="shared" si="56"/>
        <v>0</v>
      </c>
      <c r="O158" s="73"/>
      <c r="P158" s="73"/>
      <c r="Q158" s="73"/>
      <c r="R158" s="73">
        <f t="shared" si="57"/>
        <v>0</v>
      </c>
      <c r="S158" s="73"/>
      <c r="T158" s="73"/>
      <c r="U158" s="73"/>
      <c r="V158" s="73"/>
      <c r="W158" s="73"/>
      <c r="X158" s="73"/>
      <c r="Y158" s="73"/>
      <c r="Z158" s="73"/>
      <c r="AA158" s="92"/>
      <c r="AB158" s="71"/>
      <c r="AC158" s="72"/>
      <c r="AD158" s="73"/>
      <c r="AE158" s="69"/>
      <c r="AF158" s="69">
        <f t="shared" si="50"/>
        <v>6180280.6199999982</v>
      </c>
      <c r="AG158" s="1"/>
      <c r="AH158" s="6"/>
      <c r="AI158" s="4"/>
      <c r="AJ158" s="77"/>
      <c r="AK158" s="78"/>
      <c r="AL158" s="77"/>
      <c r="AM158" s="78"/>
      <c r="AN158" s="14"/>
      <c r="AO158" s="14"/>
      <c r="AP158" s="4"/>
      <c r="AQ158" s="34"/>
      <c r="AR158" s="34"/>
      <c r="AS158" s="34"/>
      <c r="AT158" s="34"/>
      <c r="AU158" s="34"/>
      <c r="AV158" s="34"/>
      <c r="AW158" s="34"/>
      <c r="AX158" s="4"/>
    </row>
    <row r="159" spans="1:50" x14ac:dyDescent="0.3">
      <c r="A159" s="63"/>
      <c r="B159" s="65"/>
      <c r="C159" s="65" t="s">
        <v>460</v>
      </c>
      <c r="D159" s="73">
        <v>7408586.7999999998</v>
      </c>
      <c r="E159" s="63"/>
      <c r="F159" s="65"/>
      <c r="G159" s="68" t="s">
        <v>79</v>
      </c>
      <c r="H159" s="73"/>
      <c r="I159" s="73"/>
      <c r="J159" s="73"/>
      <c r="K159" s="73"/>
      <c r="L159" s="73"/>
      <c r="M159" s="73">
        <f t="shared" si="53"/>
        <v>0</v>
      </c>
      <c r="N159" s="73">
        <f t="shared" si="56"/>
        <v>0</v>
      </c>
      <c r="O159" s="73"/>
      <c r="P159" s="73"/>
      <c r="Q159" s="73"/>
      <c r="R159" s="73">
        <f t="shared" si="57"/>
        <v>0</v>
      </c>
      <c r="S159" s="73"/>
      <c r="T159" s="73"/>
      <c r="U159" s="73"/>
      <c r="V159" s="73"/>
      <c r="W159" s="73"/>
      <c r="X159" s="73"/>
      <c r="Y159" s="73"/>
      <c r="Z159" s="73"/>
      <c r="AA159" s="92"/>
      <c r="AB159" s="71"/>
      <c r="AC159" s="72"/>
      <c r="AD159" s="73"/>
      <c r="AE159" s="69"/>
      <c r="AF159" s="69">
        <f t="shared" si="50"/>
        <v>6180280.6199999982</v>
      </c>
      <c r="AG159" s="1"/>
      <c r="AH159" s="6"/>
      <c r="AI159" s="4"/>
      <c r="AJ159" s="77"/>
      <c r="AK159" s="78"/>
      <c r="AL159" s="77"/>
      <c r="AM159" s="78"/>
      <c r="AN159" s="14"/>
      <c r="AO159" s="14"/>
      <c r="AP159" s="4"/>
      <c r="AQ159" s="34"/>
      <c r="AR159" s="34"/>
      <c r="AS159" s="34"/>
      <c r="AT159" s="34"/>
      <c r="AU159" s="34"/>
      <c r="AV159" s="34"/>
      <c r="AW159" s="34"/>
      <c r="AX159" s="4"/>
    </row>
  </sheetData>
  <mergeCells count="8">
    <mergeCell ref="AQ1:AR1"/>
    <mergeCell ref="AJ7:AN7"/>
    <mergeCell ref="AR7:AT7"/>
    <mergeCell ref="AU7:AW7"/>
    <mergeCell ref="J8:K8"/>
    <mergeCell ref="AB8:AC8"/>
    <mergeCell ref="AJ9:AK9"/>
    <mergeCell ref="AL9:AM9"/>
  </mergeCells>
  <conditionalFormatting sqref="D1:D7">
    <cfRule type="containsText" dxfId="72" priority="17" operator="containsText" text="SETUP iFUND">
      <formula>NOT(ISERROR(SEARCH(("SETUP iFUND"),(D1))))</formula>
    </cfRule>
    <cfRule type="containsText" dxfId="71" priority="18" operator="containsText" text="FOB">
      <formula>NOT(ISERROR(SEARCH(("FOB"),(D1))))</formula>
    </cfRule>
    <cfRule type="containsText" dxfId="70" priority="19" operator="containsText" text="2019 NYDD">
      <formula>NOT(ISERROR(SEARCH(("2019 NYDD"),(D1))))</formula>
    </cfRule>
    <cfRule type="containsText" dxfId="69" priority="20" operator="containsText" text="2019">
      <formula>NOT(ISERROR(SEARCH(("2019"),(D1))))</formula>
    </cfRule>
    <cfRule type="containsText" dxfId="68" priority="21" operator="containsText" text="SETUP CTNG">
      <formula>NOT(ISERROR(SEARCH(("SETUP CTNG"),(D1))))</formula>
    </cfRule>
    <cfRule type="containsText" dxfId="67" priority="22" operator="containsText" text="CEST UP">
      <formula>NOT(ISERROR(SEARCH(("CEST UP"),(D1))))</formula>
    </cfRule>
    <cfRule type="containsText" dxfId="66" priority="23" operator="containsText" text="CO">
      <formula>NOT(ISERROR(SEARCH(("CO"),(D1))))</formula>
    </cfRule>
    <cfRule type="containsText" dxfId="65" priority="24" operator="containsText" text="GIA">
      <formula>NOT(ISERROR(SEARCH(("GIA"),(D1))))</formula>
    </cfRule>
    <cfRule type="containsText" dxfId="64" priority="25" operator="containsText" text="SCIENCE CENTRUM">
      <formula>NOT(ISERROR(SEARCH(("SCIENCE CENTRUM"),(D1))))</formula>
    </cfRule>
    <cfRule type="containsText" dxfId="63" priority="26" operator="containsText" text="SETUP Non Refund">
      <formula>NOT(ISERROR(SEARCH(("SETUP Non Refund"),(D1))))</formula>
    </cfRule>
    <cfRule type="containsText" dxfId="62" priority="27" operator="containsText" text="SETUP PMB">
      <formula>NOT(ISERROR(SEARCH(("SETUP PMB"),(D1))))</formula>
    </cfRule>
    <cfRule type="containsText" dxfId="61" priority="28" operator="containsText" text="SETUP iFUND">
      <formula>NOT(ISERROR(SEARCH(("SETUP iFUND"),(D1))))</formula>
    </cfRule>
    <cfRule type="containsText" dxfId="60" priority="29" operator="containsText" text="SETUP 2.0 (GAA)">
      <formula>NOT(ISERROR(SEARCH(("SETUP 2.0 (GAA)"),(D1))))</formula>
    </cfRule>
    <cfRule type="containsText" dxfId="59" priority="30" operator="containsText" text="SETUP 2.0 P-3">
      <formula>NOT(ISERROR(SEARCH(("SETUP 2.0 P-3"),(D1))))</formula>
    </cfRule>
    <cfRule type="containsText" dxfId="58" priority="31" operator="containsText" text="SETUP 2.0 P-2">
      <formula>NOT(ISERROR(SEARCH(("SETUP 2.0 P-2"),(D1))))</formula>
    </cfRule>
    <cfRule type="containsText" dxfId="57" priority="32" operator="containsText" text="SETUP 2.0 P-1">
      <formula>NOT(ISERROR(SEARCH(("SETUP 2.0 P-1"),(D1))))</formula>
    </cfRule>
    <cfRule type="containsText" dxfId="56" priority="33" operator="containsText" text="ONELAB">
      <formula>NOT(ISERROR(SEARCH(("ONELAB"),(D1))))</formula>
    </cfRule>
    <cfRule type="containsText" dxfId="55" priority="34" operator="containsText" text="RML">
      <formula>NOT(ISERROR(SEARCH(("RML"),(D1))))</formula>
    </cfRule>
  </conditionalFormatting>
  <conditionalFormatting sqref="AC1:AC159">
    <cfRule type="duplicateValues" dxfId="54" priority="36"/>
  </conditionalFormatting>
  <pageMargins left="0.7" right="0.7" top="0.75" bottom="0.75" header="0.3" footer="0.3"/>
  <legacy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D6FAE23-DEEF-41F2-B73A-A81798EAD93D}">
  <dimension ref="A1:AX47"/>
  <sheetViews>
    <sheetView workbookViewId="0">
      <selection activeCell="J18" sqref="J18"/>
    </sheetView>
  </sheetViews>
  <sheetFormatPr defaultRowHeight="14.4" x14ac:dyDescent="0.3"/>
  <sheetData>
    <row r="1" spans="1:50" x14ac:dyDescent="0.3">
      <c r="A1" s="1" t="s">
        <v>0</v>
      </c>
      <c r="B1" s="1"/>
      <c r="C1" s="1"/>
      <c r="D1" s="2"/>
      <c r="E1" s="3"/>
      <c r="F1" s="4" t="s">
        <v>1</v>
      </c>
      <c r="G1" s="5"/>
      <c r="H1" s="3"/>
      <c r="I1" s="3"/>
      <c r="J1" s="3"/>
      <c r="K1" s="3"/>
      <c r="L1" s="3"/>
      <c r="M1" s="3"/>
      <c r="N1" s="6"/>
      <c r="O1" s="3"/>
      <c r="P1" s="6"/>
      <c r="Q1" s="6"/>
      <c r="R1" s="6"/>
      <c r="S1" s="6"/>
      <c r="T1" s="6"/>
      <c r="U1" s="6"/>
      <c r="V1" s="6"/>
      <c r="W1" s="7"/>
      <c r="X1" s="6" t="s">
        <v>2</v>
      </c>
      <c r="Y1" s="6"/>
      <c r="Z1" s="6"/>
      <c r="AA1" s="8"/>
      <c r="AB1" s="9"/>
      <c r="AC1" s="10"/>
      <c r="AD1" s="11" t="s">
        <v>3</v>
      </c>
      <c r="AE1" s="6"/>
      <c r="AF1" s="6"/>
      <c r="AG1" s="1"/>
      <c r="AH1" s="12" t="s">
        <v>4</v>
      </c>
      <c r="AI1" s="13"/>
      <c r="AJ1" s="13"/>
      <c r="AK1" s="13"/>
      <c r="AL1" s="13"/>
      <c r="AM1" s="13"/>
      <c r="AN1" s="14" t="str">
        <f>+TEXT(AM1-AK1,"h:mm")</f>
        <v>0:00</v>
      </c>
      <c r="AO1" s="13"/>
      <c r="AP1" s="15" t="s">
        <v>5</v>
      </c>
      <c r="AQ1" s="190" t="s">
        <v>6</v>
      </c>
      <c r="AR1" s="191"/>
      <c r="AS1" s="4"/>
      <c r="AT1" s="4"/>
      <c r="AU1" s="4"/>
      <c r="AV1" s="4"/>
      <c r="AW1" s="4"/>
      <c r="AX1" s="4"/>
    </row>
    <row r="2" spans="1:50" x14ac:dyDescent="0.3">
      <c r="A2" s="1" t="s">
        <v>7</v>
      </c>
      <c r="B2" s="4"/>
      <c r="C2" s="4"/>
      <c r="D2" s="2"/>
      <c r="E2" s="3"/>
      <c r="F2" s="4" t="s">
        <v>1</v>
      </c>
      <c r="G2" s="5"/>
      <c r="H2" s="3"/>
      <c r="I2" s="3"/>
      <c r="J2" s="3"/>
      <c r="K2" s="3"/>
      <c r="L2" s="3"/>
      <c r="M2" s="3"/>
      <c r="N2" s="6"/>
      <c r="O2" s="3"/>
      <c r="P2" s="6"/>
      <c r="Q2" s="6"/>
      <c r="R2" s="6"/>
      <c r="S2" s="6"/>
      <c r="T2" s="6"/>
      <c r="U2" s="6"/>
      <c r="V2" s="6"/>
      <c r="W2" s="16"/>
      <c r="X2" s="6" t="s">
        <v>8</v>
      </c>
      <c r="Y2" s="6"/>
      <c r="Z2" s="6"/>
      <c r="AA2" s="8"/>
      <c r="AB2" s="9"/>
      <c r="AC2" s="10"/>
      <c r="AD2" s="17"/>
      <c r="AE2" s="6"/>
      <c r="AF2" s="6"/>
      <c r="AG2" s="18" t="s">
        <v>9</v>
      </c>
      <c r="AH2" s="19">
        <v>4.1666666666666699E-2</v>
      </c>
      <c r="AI2" s="4"/>
      <c r="AJ2" s="20">
        <v>44599</v>
      </c>
      <c r="AK2" s="14">
        <v>0.46875</v>
      </c>
      <c r="AL2" s="20">
        <v>44599</v>
      </c>
      <c r="AM2" s="14">
        <v>0.60416666666666696</v>
      </c>
      <c r="AN2" s="14" t="str">
        <f>+TEXT(AM2-AK2-$AH$2,"h:mm")</f>
        <v>2:15</v>
      </c>
      <c r="AO2" s="4"/>
      <c r="AP2" s="21" t="s">
        <v>10</v>
      </c>
      <c r="AQ2" s="22" t="s">
        <v>11</v>
      </c>
      <c r="AR2" s="23">
        <v>0.33333333333333298</v>
      </c>
      <c r="AS2" s="4"/>
      <c r="AT2" s="4"/>
      <c r="AU2" s="4"/>
      <c r="AV2" s="4"/>
      <c r="AW2" s="4"/>
      <c r="AX2" s="4"/>
    </row>
    <row r="3" spans="1:50" x14ac:dyDescent="0.3">
      <c r="A3" s="1" t="s">
        <v>12</v>
      </c>
      <c r="B3" s="24"/>
      <c r="C3" s="4"/>
      <c r="D3" s="2"/>
      <c r="E3" s="3"/>
      <c r="F3" s="4" t="s">
        <v>1</v>
      </c>
      <c r="G3" s="5"/>
      <c r="H3" s="3"/>
      <c r="I3" s="3"/>
      <c r="J3" s="3"/>
      <c r="K3" s="3"/>
      <c r="L3" s="3"/>
      <c r="M3" s="3"/>
      <c r="N3" s="6"/>
      <c r="O3" s="3"/>
      <c r="P3" s="6"/>
      <c r="Q3" s="6"/>
      <c r="R3" s="6"/>
      <c r="S3" s="6"/>
      <c r="T3" s="6"/>
      <c r="U3" s="6"/>
      <c r="V3" s="6"/>
      <c r="W3" s="25"/>
      <c r="X3" s="6" t="s">
        <v>13</v>
      </c>
      <c r="Y3" s="6"/>
      <c r="Z3" s="6"/>
      <c r="AA3" s="8"/>
      <c r="AB3" s="9"/>
      <c r="AC3" s="10"/>
      <c r="AD3" s="17"/>
      <c r="AE3" s="6"/>
      <c r="AF3" s="6"/>
      <c r="AG3" s="26" t="s">
        <v>14</v>
      </c>
      <c r="AH3" s="27"/>
      <c r="AI3" s="4"/>
      <c r="AJ3" s="20">
        <v>44602</v>
      </c>
      <c r="AK3" s="14">
        <v>0.64236111111111105</v>
      </c>
      <c r="AL3" s="20">
        <v>44603</v>
      </c>
      <c r="AM3" s="14">
        <v>0.40625</v>
      </c>
      <c r="AN3" s="14">
        <f>+TEXT($AR$3-AK3,"h:mm")+TEXT(AM3-$AR$2,"h:mm")</f>
        <v>0.1388888888888889</v>
      </c>
      <c r="AO3" s="4"/>
      <c r="AP3" s="21" t="s">
        <v>15</v>
      </c>
      <c r="AQ3" s="22" t="s">
        <v>16</v>
      </c>
      <c r="AR3" s="23">
        <v>0.70833333333333304</v>
      </c>
      <c r="AS3" s="4"/>
      <c r="AT3" s="4"/>
      <c r="AU3" s="4"/>
      <c r="AV3" s="4"/>
      <c r="AW3" s="4"/>
      <c r="AX3" s="4"/>
    </row>
    <row r="4" spans="1:50" ht="15" thickBot="1" x14ac:dyDescent="0.35">
      <c r="A4" s="1"/>
      <c r="B4" s="24"/>
      <c r="C4" s="4"/>
      <c r="D4" s="2"/>
      <c r="E4" s="3"/>
      <c r="F4" s="4"/>
      <c r="G4" s="5"/>
      <c r="H4" s="3"/>
      <c r="I4" s="3"/>
      <c r="J4" s="3"/>
      <c r="K4" s="3"/>
      <c r="L4" s="3"/>
      <c r="M4" s="3"/>
      <c r="N4" s="6"/>
      <c r="O4" s="3"/>
      <c r="P4" s="6"/>
      <c r="Q4" s="6"/>
      <c r="R4" s="6"/>
      <c r="S4" s="6"/>
      <c r="T4" s="6"/>
      <c r="U4" s="6"/>
      <c r="V4" s="6"/>
      <c r="W4" s="28"/>
      <c r="X4" s="6" t="s">
        <v>17</v>
      </c>
      <c r="Y4" s="6"/>
      <c r="Z4" s="6"/>
      <c r="AA4" s="8"/>
      <c r="AB4" s="9"/>
      <c r="AC4" s="10"/>
      <c r="AD4" s="17"/>
      <c r="AE4" s="6"/>
      <c r="AF4" s="6"/>
      <c r="AG4" s="1"/>
      <c r="AH4" s="29"/>
      <c r="AI4" s="30"/>
      <c r="AJ4" s="31"/>
      <c r="AK4" s="32"/>
      <c r="AL4" s="31"/>
      <c r="AM4" s="32"/>
      <c r="AN4" s="32"/>
      <c r="AO4" s="30" t="str">
        <f>TEXT(AN4/12,"hh:mm:ss")</f>
        <v>00:00:00</v>
      </c>
      <c r="AP4" s="33" t="s">
        <v>18</v>
      </c>
      <c r="AQ4" s="34"/>
      <c r="AR4" s="14"/>
      <c r="AS4" s="4"/>
      <c r="AT4" s="4"/>
      <c r="AU4" s="4"/>
      <c r="AV4" s="4"/>
      <c r="AW4" s="4"/>
      <c r="AX4" s="4"/>
    </row>
    <row r="5" spans="1:50" x14ac:dyDescent="0.3">
      <c r="A5" s="35"/>
      <c r="B5" s="24"/>
      <c r="C5" s="4"/>
      <c r="D5" s="2"/>
      <c r="E5" s="3"/>
      <c r="F5" s="4"/>
      <c r="G5" s="5"/>
      <c r="H5" s="3"/>
      <c r="I5" s="3"/>
      <c r="J5" s="3"/>
      <c r="K5" s="3"/>
      <c r="L5" s="3"/>
      <c r="M5" s="3"/>
      <c r="N5" s="6"/>
      <c r="O5" s="3"/>
      <c r="P5" s="6"/>
      <c r="Q5" s="6"/>
      <c r="R5" s="6"/>
      <c r="S5" s="6"/>
      <c r="T5" s="6"/>
      <c r="U5" s="6"/>
      <c r="V5" s="6"/>
      <c r="W5" s="36"/>
      <c r="X5" s="6" t="s">
        <v>19</v>
      </c>
      <c r="Y5" s="6"/>
      <c r="Z5" s="6"/>
      <c r="AA5" s="8"/>
      <c r="AB5" s="9"/>
      <c r="AC5" s="10"/>
      <c r="AD5" s="17"/>
      <c r="AE5" s="6"/>
      <c r="AF5" s="6"/>
      <c r="AG5" s="1"/>
      <c r="AH5" s="34"/>
      <c r="AI5" s="4"/>
      <c r="AJ5" s="4"/>
      <c r="AK5" s="4"/>
      <c r="AL5" s="4"/>
      <c r="AM5" s="4"/>
      <c r="AN5" s="4"/>
      <c r="AO5" s="4"/>
      <c r="AP5" s="4"/>
      <c r="AQ5" s="34"/>
      <c r="AR5" s="4"/>
      <c r="AS5" s="4"/>
      <c r="AT5" s="4"/>
      <c r="AU5" s="4"/>
      <c r="AV5" s="4"/>
      <c r="AW5" s="4"/>
      <c r="AX5" s="4"/>
    </row>
    <row r="6" spans="1:50" ht="15" thickBot="1" x14ac:dyDescent="0.35">
      <c r="A6" s="35"/>
      <c r="B6" s="24"/>
      <c r="C6" s="4"/>
      <c r="D6" s="2"/>
      <c r="E6" s="3"/>
      <c r="F6" s="4"/>
      <c r="G6" s="5"/>
      <c r="H6" s="3"/>
      <c r="I6" s="3"/>
      <c r="J6" s="3"/>
      <c r="K6" s="3"/>
      <c r="L6" s="3"/>
      <c r="M6" s="3"/>
      <c r="N6" s="6"/>
      <c r="O6" s="3"/>
      <c r="P6" s="6"/>
      <c r="Q6" s="6"/>
      <c r="R6" s="6"/>
      <c r="S6" s="6"/>
      <c r="T6" s="6"/>
      <c r="U6" s="6"/>
      <c r="V6" s="6"/>
      <c r="W6" s="37"/>
      <c r="X6" s="6" t="s">
        <v>20</v>
      </c>
      <c r="Y6" s="6"/>
      <c r="Z6" s="6"/>
      <c r="AA6" s="8"/>
      <c r="AB6" s="9"/>
      <c r="AC6" s="10"/>
      <c r="AD6" s="17"/>
      <c r="AE6" s="6"/>
      <c r="AF6" s="6"/>
      <c r="AG6" s="1"/>
      <c r="AH6" s="34"/>
      <c r="AI6" s="4"/>
      <c r="AJ6" s="4"/>
      <c r="AK6" s="4"/>
      <c r="AL6" s="4"/>
      <c r="AM6" s="4"/>
      <c r="AN6" s="4"/>
      <c r="AO6" s="4"/>
      <c r="AP6" s="4"/>
      <c r="AQ6" s="34"/>
      <c r="AR6" s="4"/>
      <c r="AS6" s="4"/>
      <c r="AT6" s="4"/>
      <c r="AU6" s="4"/>
      <c r="AV6" s="4"/>
      <c r="AW6" s="4"/>
      <c r="AX6" s="4"/>
    </row>
    <row r="7" spans="1:50" ht="15" thickBot="1" x14ac:dyDescent="0.35">
      <c r="A7" s="1"/>
      <c r="B7" s="24"/>
      <c r="C7" s="4"/>
      <c r="D7" s="2"/>
      <c r="E7" s="3"/>
      <c r="F7" s="4"/>
      <c r="G7" s="5"/>
      <c r="H7" s="3"/>
      <c r="I7" s="3"/>
      <c r="J7" s="3"/>
      <c r="K7" s="3"/>
      <c r="L7" s="3"/>
      <c r="M7" s="3"/>
      <c r="N7" s="6"/>
      <c r="O7" s="3"/>
      <c r="P7" s="6"/>
      <c r="Q7" s="6"/>
      <c r="R7" s="6"/>
      <c r="S7" s="6"/>
      <c r="T7" s="6"/>
      <c r="U7" s="6"/>
      <c r="V7" s="6"/>
      <c r="W7" s="6"/>
      <c r="X7" s="6"/>
      <c r="Y7" s="6"/>
      <c r="Z7" s="6"/>
      <c r="AA7" s="8"/>
      <c r="AB7" s="9"/>
      <c r="AC7" s="10"/>
      <c r="AD7" s="17"/>
      <c r="AE7" s="38" t="s">
        <v>21</v>
      </c>
      <c r="AF7" s="6"/>
      <c r="AG7" s="1"/>
      <c r="AH7" s="34"/>
      <c r="AI7" s="4"/>
      <c r="AJ7" s="192" t="s">
        <v>22</v>
      </c>
      <c r="AK7" s="193"/>
      <c r="AL7" s="193"/>
      <c r="AM7" s="193"/>
      <c r="AN7" s="194"/>
      <c r="AO7" s="39" t="s">
        <v>23</v>
      </c>
      <c r="AP7" s="4"/>
      <c r="AQ7" s="40" t="s">
        <v>24</v>
      </c>
      <c r="AR7" s="195" t="s">
        <v>25</v>
      </c>
      <c r="AS7" s="196"/>
      <c r="AT7" s="191"/>
      <c r="AU7" s="197" t="s">
        <v>26</v>
      </c>
      <c r="AV7" s="196"/>
      <c r="AW7" s="191"/>
      <c r="AX7" s="4"/>
    </row>
    <row r="8" spans="1:50" ht="79.8" x14ac:dyDescent="0.3">
      <c r="A8" s="43" t="s">
        <v>27</v>
      </c>
      <c r="B8" s="24"/>
      <c r="C8" s="43" t="s">
        <v>28</v>
      </c>
      <c r="D8" s="43" t="s">
        <v>29</v>
      </c>
      <c r="E8" s="38" t="s">
        <v>30</v>
      </c>
      <c r="F8" s="43" t="s">
        <v>31</v>
      </c>
      <c r="G8" s="44"/>
      <c r="H8" s="38"/>
      <c r="I8" s="38"/>
      <c r="J8" s="198" t="s">
        <v>32</v>
      </c>
      <c r="K8" s="199"/>
      <c r="L8" s="4"/>
      <c r="M8" s="38"/>
      <c r="N8" s="38" t="s">
        <v>33</v>
      </c>
      <c r="O8" s="38"/>
      <c r="P8" s="45" t="s">
        <v>34</v>
      </c>
      <c r="Q8" s="38" t="s">
        <v>35</v>
      </c>
      <c r="R8" s="38" t="s">
        <v>36</v>
      </c>
      <c r="S8" s="45" t="s">
        <v>37</v>
      </c>
      <c r="T8" s="46" t="s">
        <v>38</v>
      </c>
      <c r="U8" s="38" t="s">
        <v>39</v>
      </c>
      <c r="V8" s="38" t="s">
        <v>40</v>
      </c>
      <c r="W8" s="38" t="s">
        <v>39</v>
      </c>
      <c r="X8" s="38" t="s">
        <v>40</v>
      </c>
      <c r="Y8" s="38" t="s">
        <v>41</v>
      </c>
      <c r="Z8" s="38" t="s">
        <v>42</v>
      </c>
      <c r="AA8" s="47" t="s">
        <v>43</v>
      </c>
      <c r="AB8" s="200" t="s">
        <v>44</v>
      </c>
      <c r="AC8" s="199"/>
      <c r="AD8" s="48" t="s">
        <v>45</v>
      </c>
      <c r="AE8" s="38" t="s">
        <v>46</v>
      </c>
      <c r="AF8" s="38" t="s">
        <v>47</v>
      </c>
      <c r="AG8" s="35" t="s">
        <v>48</v>
      </c>
      <c r="AH8" s="43" t="s">
        <v>49</v>
      </c>
      <c r="AI8" s="4"/>
      <c r="AJ8" s="49" t="s">
        <v>43</v>
      </c>
      <c r="AK8" s="50" t="s">
        <v>50</v>
      </c>
      <c r="AL8" s="50" t="s">
        <v>43</v>
      </c>
      <c r="AM8" s="50" t="s">
        <v>51</v>
      </c>
      <c r="AN8" s="51" t="s">
        <v>52</v>
      </c>
      <c r="AO8" s="52" t="s">
        <v>53</v>
      </c>
      <c r="AP8" s="53" t="s">
        <v>54</v>
      </c>
      <c r="AQ8" s="40" t="s">
        <v>55</v>
      </c>
      <c r="AR8" s="41" t="s">
        <v>56</v>
      </c>
      <c r="AS8" s="54" t="s">
        <v>57</v>
      </c>
      <c r="AT8" s="55" t="s">
        <v>58</v>
      </c>
      <c r="AU8" s="42" t="s">
        <v>56</v>
      </c>
      <c r="AV8" s="54" t="s">
        <v>57</v>
      </c>
      <c r="AW8" s="55" t="s">
        <v>58</v>
      </c>
      <c r="AX8" s="4"/>
    </row>
    <row r="9" spans="1:50" ht="15" thickBot="1" x14ac:dyDescent="0.35">
      <c r="A9" s="1"/>
      <c r="B9" s="24"/>
      <c r="C9" s="4"/>
      <c r="D9" s="56"/>
      <c r="E9" s="34"/>
      <c r="F9" s="4"/>
      <c r="G9" s="5" t="s">
        <v>59</v>
      </c>
      <c r="H9" s="3" t="s">
        <v>60</v>
      </c>
      <c r="I9" s="3" t="s">
        <v>61</v>
      </c>
      <c r="J9" s="3" t="s">
        <v>62</v>
      </c>
      <c r="K9" s="3" t="s">
        <v>63</v>
      </c>
      <c r="L9" s="3" t="s">
        <v>64</v>
      </c>
      <c r="M9" s="3" t="s">
        <v>65</v>
      </c>
      <c r="N9" s="3" t="s">
        <v>66</v>
      </c>
      <c r="O9" s="3" t="s">
        <v>67</v>
      </c>
      <c r="P9" s="57" t="s">
        <v>68</v>
      </c>
      <c r="Q9" s="6"/>
      <c r="R9" s="6"/>
      <c r="S9" s="6"/>
      <c r="T9" s="58"/>
      <c r="U9" s="3" t="s">
        <v>69</v>
      </c>
      <c r="V9" s="3" t="s">
        <v>69</v>
      </c>
      <c r="W9" s="3" t="s">
        <v>70</v>
      </c>
      <c r="X9" s="3" t="s">
        <v>70</v>
      </c>
      <c r="Y9" s="6"/>
      <c r="Z9" s="6"/>
      <c r="AA9" s="8"/>
      <c r="AB9" s="9"/>
      <c r="AC9" s="10"/>
      <c r="AD9" s="17"/>
      <c r="AE9" s="6"/>
      <c r="AF9" s="4"/>
      <c r="AG9" s="1"/>
      <c r="AH9" s="4"/>
      <c r="AI9" s="4"/>
      <c r="AJ9" s="187" t="s">
        <v>71</v>
      </c>
      <c r="AK9" s="188"/>
      <c r="AL9" s="189" t="s">
        <v>72</v>
      </c>
      <c r="AM9" s="188"/>
      <c r="AN9" s="59" t="s">
        <v>73</v>
      </c>
      <c r="AO9" s="60" t="s">
        <v>73</v>
      </c>
      <c r="AP9" s="4"/>
      <c r="AQ9" s="61" t="s">
        <v>74</v>
      </c>
      <c r="AR9" s="62"/>
      <c r="AS9" s="4"/>
      <c r="AT9" s="4"/>
      <c r="AU9" s="4"/>
      <c r="AV9" s="4"/>
      <c r="AW9" s="4"/>
      <c r="AX9" s="4"/>
    </row>
    <row r="10" spans="1:50" x14ac:dyDescent="0.3">
      <c r="A10" s="63"/>
      <c r="B10" s="64"/>
      <c r="C10" s="65"/>
      <c r="D10" s="66"/>
      <c r="E10" s="67"/>
      <c r="F10" s="65"/>
      <c r="G10" s="68"/>
      <c r="H10" s="69"/>
      <c r="I10" s="69"/>
      <c r="J10" s="69"/>
      <c r="K10" s="69"/>
      <c r="L10" s="69"/>
      <c r="M10" s="69"/>
      <c r="N10" s="69"/>
      <c r="O10" s="69"/>
      <c r="P10" s="69"/>
      <c r="Q10" s="69"/>
      <c r="R10" s="69"/>
      <c r="S10" s="69"/>
      <c r="T10" s="69"/>
      <c r="U10" s="69"/>
      <c r="V10" s="69"/>
      <c r="W10" s="69"/>
      <c r="X10" s="69"/>
      <c r="Y10" s="69"/>
      <c r="Z10" s="69"/>
      <c r="AA10" s="70"/>
      <c r="AB10" s="71"/>
      <c r="AC10" s="72"/>
      <c r="AD10" s="73"/>
      <c r="AE10" s="69"/>
      <c r="AF10" s="69"/>
      <c r="AG10" s="1"/>
      <c r="AH10" s="4"/>
      <c r="AI10" s="4"/>
      <c r="AJ10" s="4"/>
      <c r="AK10" s="4"/>
      <c r="AL10" s="4"/>
      <c r="AM10" s="4"/>
      <c r="AN10" s="4"/>
      <c r="AO10" s="4"/>
      <c r="AP10" s="4"/>
      <c r="AQ10" s="34"/>
      <c r="AR10" s="4"/>
      <c r="AS10" s="4"/>
      <c r="AT10" s="4"/>
      <c r="AU10" s="4"/>
      <c r="AV10" s="4"/>
      <c r="AW10" s="4"/>
      <c r="AX10" s="4"/>
    </row>
    <row r="11" spans="1:50" x14ac:dyDescent="0.3">
      <c r="A11" s="63"/>
      <c r="B11" s="64"/>
      <c r="C11" s="74" t="s">
        <v>75</v>
      </c>
      <c r="D11" s="66" t="s">
        <v>76</v>
      </c>
      <c r="E11" s="67"/>
      <c r="F11" s="65"/>
      <c r="G11" s="68"/>
      <c r="H11" s="69"/>
      <c r="I11" s="69"/>
      <c r="J11" s="69"/>
      <c r="K11" s="69"/>
      <c r="L11" s="69"/>
      <c r="M11" s="69"/>
      <c r="N11" s="69"/>
      <c r="O11" s="69"/>
      <c r="P11" s="69"/>
      <c r="Q11" s="69"/>
      <c r="R11" s="69"/>
      <c r="S11" s="69"/>
      <c r="T11" s="69"/>
      <c r="U11" s="69"/>
      <c r="V11" s="69"/>
      <c r="W11" s="69"/>
      <c r="X11" s="69"/>
      <c r="Y11" s="69"/>
      <c r="Z11" s="69"/>
      <c r="AA11" s="70"/>
      <c r="AB11" s="71"/>
      <c r="AC11" s="72"/>
      <c r="AD11" s="73"/>
      <c r="AE11" s="69">
        <f t="shared" ref="AE11:AE25" si="0">T11-N11</f>
        <v>0</v>
      </c>
      <c r="AF11" s="69"/>
      <c r="AG11" s="1"/>
      <c r="AH11" s="4"/>
      <c r="AI11" s="4"/>
      <c r="AJ11" s="4"/>
      <c r="AK11" s="4"/>
      <c r="AL11" s="4"/>
      <c r="AM11" s="4"/>
      <c r="AN11" s="4"/>
      <c r="AO11" s="4"/>
      <c r="AP11" s="4"/>
      <c r="AQ11" s="34"/>
      <c r="AR11" s="4"/>
      <c r="AS11" s="4"/>
      <c r="AT11" s="4"/>
      <c r="AU11" s="4"/>
      <c r="AV11" s="4"/>
      <c r="AW11" s="4"/>
      <c r="AX11" s="4"/>
    </row>
    <row r="12" spans="1:50" x14ac:dyDescent="0.3">
      <c r="A12" s="63"/>
      <c r="B12" s="64"/>
      <c r="C12" s="65"/>
      <c r="D12" s="66"/>
      <c r="E12" s="67"/>
      <c r="F12" s="65"/>
      <c r="G12" s="68"/>
      <c r="H12" s="69"/>
      <c r="I12" s="69"/>
      <c r="J12" s="69"/>
      <c r="K12" s="69"/>
      <c r="L12" s="69"/>
      <c r="M12" s="69"/>
      <c r="N12" s="69"/>
      <c r="O12" s="69"/>
      <c r="P12" s="69"/>
      <c r="Q12" s="69"/>
      <c r="R12" s="69"/>
      <c r="S12" s="69"/>
      <c r="T12" s="69"/>
      <c r="U12" s="69"/>
      <c r="V12" s="69"/>
      <c r="W12" s="69"/>
      <c r="X12" s="69"/>
      <c r="Y12" s="69"/>
      <c r="Z12" s="69"/>
      <c r="AA12" s="70"/>
      <c r="AB12" s="71"/>
      <c r="AC12" s="72"/>
      <c r="AD12" s="73"/>
      <c r="AE12" s="69">
        <f t="shared" si="0"/>
        <v>0</v>
      </c>
      <c r="AF12" s="69"/>
      <c r="AG12" s="1"/>
      <c r="AH12" s="4"/>
      <c r="AI12" s="4"/>
      <c r="AJ12" s="4"/>
      <c r="AK12" s="4"/>
      <c r="AL12" s="4"/>
      <c r="AM12" s="4"/>
      <c r="AN12" s="4"/>
      <c r="AO12" s="4"/>
      <c r="AP12" s="4"/>
      <c r="AQ12" s="34"/>
      <c r="AR12" s="4"/>
      <c r="AS12" s="4"/>
      <c r="AT12" s="4"/>
      <c r="AU12" s="4"/>
      <c r="AV12" s="4"/>
      <c r="AW12" s="4"/>
      <c r="AX12" s="4"/>
    </row>
    <row r="13" spans="1:50" x14ac:dyDescent="0.3">
      <c r="A13" s="63"/>
      <c r="B13" s="64"/>
      <c r="C13" s="65"/>
      <c r="D13" s="66"/>
      <c r="E13" s="67"/>
      <c r="F13" s="65"/>
      <c r="G13" s="68"/>
      <c r="H13" s="69"/>
      <c r="I13" s="69"/>
      <c r="J13" s="69"/>
      <c r="K13" s="69"/>
      <c r="L13" s="69"/>
      <c r="M13" s="73">
        <f>(T13-R13)-Z13</f>
        <v>0</v>
      </c>
      <c r="N13" s="69">
        <f t="shared" ref="N13:N25" si="1">SUM(H13:L13)</f>
        <v>0</v>
      </c>
      <c r="O13" s="69"/>
      <c r="P13" s="69"/>
      <c r="Q13" s="69"/>
      <c r="R13" s="69">
        <f t="shared" ref="R13:R25" si="2">+N13+SUM(O13:Q13)</f>
        <v>0</v>
      </c>
      <c r="S13" s="69"/>
      <c r="T13" s="69"/>
      <c r="U13" s="69"/>
      <c r="V13" s="69"/>
      <c r="W13" s="69"/>
      <c r="X13" s="69"/>
      <c r="Y13" s="69"/>
      <c r="Z13" s="69"/>
      <c r="AA13" s="70"/>
      <c r="AB13" s="71"/>
      <c r="AC13" s="72"/>
      <c r="AD13" s="73"/>
      <c r="AE13" s="69">
        <f t="shared" si="0"/>
        <v>0</v>
      </c>
      <c r="AF13" s="69">
        <f t="shared" ref="AF13:AF47" si="3">AD13-AE13</f>
        <v>0</v>
      </c>
      <c r="AG13" s="1"/>
      <c r="AH13" s="4"/>
      <c r="AI13" s="4"/>
      <c r="AJ13" s="4"/>
      <c r="AK13" s="4"/>
      <c r="AL13" s="4"/>
      <c r="AM13" s="4"/>
      <c r="AN13" s="4"/>
      <c r="AO13" s="4"/>
      <c r="AP13" s="4"/>
      <c r="AQ13" s="34"/>
      <c r="AR13" s="34"/>
      <c r="AS13" s="34"/>
      <c r="AT13" s="34"/>
      <c r="AU13" s="34"/>
      <c r="AV13" s="34"/>
      <c r="AW13" s="34"/>
      <c r="AX13" s="4"/>
    </row>
    <row r="14" spans="1:50" x14ac:dyDescent="0.3">
      <c r="A14" s="75" t="s">
        <v>80</v>
      </c>
      <c r="B14" s="65" t="s">
        <v>167</v>
      </c>
      <c r="C14" s="65" t="s">
        <v>123</v>
      </c>
      <c r="D14" s="69" t="s">
        <v>168</v>
      </c>
      <c r="E14" s="63" t="s">
        <v>84</v>
      </c>
      <c r="F14" s="65" t="s">
        <v>169</v>
      </c>
      <c r="G14" s="68" t="s">
        <v>79</v>
      </c>
      <c r="H14" s="73">
        <v>123029.42</v>
      </c>
      <c r="I14" s="73"/>
      <c r="J14" s="73"/>
      <c r="K14" s="73"/>
      <c r="L14" s="73"/>
      <c r="M14" s="73">
        <f>(T14-R14)-Z14-(624680.23-123029.42)-S14</f>
        <v>0</v>
      </c>
      <c r="N14" s="69">
        <f t="shared" si="1"/>
        <v>123029.42</v>
      </c>
      <c r="O14" s="73"/>
      <c r="P14" s="73"/>
      <c r="Q14" s="73"/>
      <c r="R14" s="69">
        <f t="shared" si="2"/>
        <v>123029.42</v>
      </c>
      <c r="S14" s="73">
        <f>531756.77-265878.42</f>
        <v>265878.35000000003</v>
      </c>
      <c r="T14" s="73">
        <v>1156437</v>
      </c>
      <c r="U14" s="73"/>
      <c r="V14" s="73"/>
      <c r="W14" s="73"/>
      <c r="X14" s="73"/>
      <c r="Y14" s="73">
        <v>1156437</v>
      </c>
      <c r="Z14" s="73">
        <v>265878.42</v>
      </c>
      <c r="AA14" s="70">
        <v>46034</v>
      </c>
      <c r="AB14" s="76" t="s">
        <v>80</v>
      </c>
      <c r="AC14" s="72" t="s">
        <v>170</v>
      </c>
      <c r="AD14" s="73"/>
      <c r="AE14" s="69">
        <f t="shared" si="0"/>
        <v>1033407.58</v>
      </c>
      <c r="AF14" s="69">
        <f t="shared" si="3"/>
        <v>-1033407.58</v>
      </c>
      <c r="AG14" s="1" t="s">
        <v>171</v>
      </c>
      <c r="AH14" s="6"/>
      <c r="AI14" s="4"/>
      <c r="AJ14" s="77">
        <v>46034</v>
      </c>
      <c r="AK14" s="78">
        <v>0.57291666666666663</v>
      </c>
      <c r="AL14" s="77">
        <v>46034</v>
      </c>
      <c r="AM14" s="78">
        <v>0.59583333333333333</v>
      </c>
      <c r="AN14" s="14" t="str">
        <f>+TEXT(AM14-AK14,"h:mm")</f>
        <v>0:33</v>
      </c>
      <c r="AO14" s="14">
        <f>+AN14/3</f>
        <v>7.6388888888888886E-3</v>
      </c>
      <c r="AP14" s="4"/>
      <c r="AQ14" s="34" t="s">
        <v>102</v>
      </c>
      <c r="AR14" s="73">
        <v>265878.42</v>
      </c>
      <c r="AS14" s="34"/>
      <c r="AT14" s="34"/>
      <c r="AU14" s="34"/>
      <c r="AV14" s="34"/>
      <c r="AW14" s="34"/>
      <c r="AX14" s="4"/>
    </row>
    <row r="15" spans="1:50" x14ac:dyDescent="0.3">
      <c r="A15" s="75" t="s">
        <v>80</v>
      </c>
      <c r="B15" s="65" t="s">
        <v>187</v>
      </c>
      <c r="C15" s="65" t="s">
        <v>123</v>
      </c>
      <c r="D15" s="69" t="s">
        <v>168</v>
      </c>
      <c r="E15" s="63" t="s">
        <v>84</v>
      </c>
      <c r="F15" s="65" t="s">
        <v>188</v>
      </c>
      <c r="G15" s="68" t="s">
        <v>79</v>
      </c>
      <c r="H15" s="73">
        <v>33045.21</v>
      </c>
      <c r="I15" s="73"/>
      <c r="J15" s="73"/>
      <c r="K15" s="73"/>
      <c r="L15" s="73"/>
      <c r="M15" s="73">
        <f>(T15-R15)-Z15</f>
        <v>0</v>
      </c>
      <c r="N15" s="73">
        <f t="shared" si="1"/>
        <v>33045.21</v>
      </c>
      <c r="O15" s="73"/>
      <c r="P15" s="73"/>
      <c r="Q15" s="73"/>
      <c r="R15" s="73">
        <f t="shared" si="2"/>
        <v>33045.21</v>
      </c>
      <c r="S15" s="73"/>
      <c r="T15" s="73">
        <v>153155.85</v>
      </c>
      <c r="U15" s="73"/>
      <c r="V15" s="73"/>
      <c r="W15" s="73"/>
      <c r="X15" s="73"/>
      <c r="Y15" s="73">
        <v>153155.85</v>
      </c>
      <c r="Z15" s="73">
        <v>120110.64</v>
      </c>
      <c r="AA15" s="70">
        <v>46035</v>
      </c>
      <c r="AB15" s="71" t="s">
        <v>80</v>
      </c>
      <c r="AC15" s="72" t="s">
        <v>189</v>
      </c>
      <c r="AD15" s="73"/>
      <c r="AE15" s="69">
        <f t="shared" si="0"/>
        <v>120110.64000000001</v>
      </c>
      <c r="AF15" s="69">
        <f t="shared" si="3"/>
        <v>-120110.64000000001</v>
      </c>
      <c r="AG15" s="1">
        <v>50102120</v>
      </c>
      <c r="AH15" s="6"/>
      <c r="AI15" s="4"/>
      <c r="AJ15" s="77">
        <v>46035</v>
      </c>
      <c r="AK15" s="78">
        <v>0.41319444444444442</v>
      </c>
      <c r="AL15" s="77">
        <v>46035</v>
      </c>
      <c r="AM15" s="78">
        <v>0.625</v>
      </c>
      <c r="AN15" s="14" t="str">
        <f>+TEXT(AM15-AK15-$AH$2,"h:mm")</f>
        <v>4:05</v>
      </c>
      <c r="AO15" s="14">
        <f>+AN15/10</f>
        <v>1.7013888888888891E-2</v>
      </c>
      <c r="AP15" s="4"/>
      <c r="AQ15" s="34" t="s">
        <v>102</v>
      </c>
      <c r="AR15" s="73">
        <v>120110.64</v>
      </c>
      <c r="AS15" s="34"/>
      <c r="AT15" s="34"/>
      <c r="AU15" s="34"/>
      <c r="AV15" s="34"/>
      <c r="AW15" s="34"/>
      <c r="AX15" s="4"/>
    </row>
    <row r="16" spans="1:50" x14ac:dyDescent="0.3">
      <c r="A16" s="75" t="s">
        <v>80</v>
      </c>
      <c r="B16" s="64" t="s">
        <v>248</v>
      </c>
      <c r="C16" s="65" t="s">
        <v>123</v>
      </c>
      <c r="D16" s="69" t="s">
        <v>168</v>
      </c>
      <c r="E16" s="63" t="s">
        <v>84</v>
      </c>
      <c r="F16" s="65" t="s">
        <v>249</v>
      </c>
      <c r="G16" s="68" t="s">
        <v>79</v>
      </c>
      <c r="H16" s="73">
        <v>112379.32</v>
      </c>
      <c r="I16" s="73"/>
      <c r="J16" s="73"/>
      <c r="K16" s="73"/>
      <c r="L16" s="73"/>
      <c r="M16" s="73">
        <f>(T16-R16)-Z16-S16-(438358.17-112379.32)</f>
        <v>0</v>
      </c>
      <c r="N16" s="73">
        <f t="shared" si="1"/>
        <v>112379.32</v>
      </c>
      <c r="O16" s="73"/>
      <c r="P16" s="73"/>
      <c r="Q16" s="73"/>
      <c r="R16" s="73">
        <f t="shared" si="2"/>
        <v>112379.32</v>
      </c>
      <c r="S16" s="73">
        <f>704163.83-352081.96</f>
        <v>352081.86999999994</v>
      </c>
      <c r="T16" s="73">
        <v>1142522</v>
      </c>
      <c r="U16" s="73"/>
      <c r="V16" s="73"/>
      <c r="W16" s="73"/>
      <c r="X16" s="73"/>
      <c r="Y16" s="73">
        <v>1142522</v>
      </c>
      <c r="Z16" s="73">
        <v>352081.96</v>
      </c>
      <c r="AA16" s="92">
        <v>46037</v>
      </c>
      <c r="AB16" s="71" t="s">
        <v>80</v>
      </c>
      <c r="AC16" s="72" t="s">
        <v>250</v>
      </c>
      <c r="AD16" s="73"/>
      <c r="AE16" s="69">
        <f t="shared" si="0"/>
        <v>1030142.6799999999</v>
      </c>
      <c r="AF16" s="69">
        <f t="shared" si="3"/>
        <v>-1030142.6799999999</v>
      </c>
      <c r="AG16" s="1">
        <v>50101010</v>
      </c>
      <c r="AH16" s="6"/>
      <c r="AI16" s="4"/>
      <c r="AJ16" s="77">
        <v>46037</v>
      </c>
      <c r="AK16" s="78">
        <v>0.44791666666666669</v>
      </c>
      <c r="AL16" s="77">
        <v>46037</v>
      </c>
      <c r="AM16" s="78">
        <v>0.5</v>
      </c>
      <c r="AN16" s="14" t="str">
        <f t="shared" ref="AN16:AN22" si="4">+TEXT(AM16-AK16,"h:mm")</f>
        <v>1:15</v>
      </c>
      <c r="AO16" s="14">
        <f>+AN16/3</f>
        <v>1.7361111111111112E-2</v>
      </c>
      <c r="AP16" s="4"/>
      <c r="AQ16" s="34" t="s">
        <v>102</v>
      </c>
      <c r="AR16" s="73">
        <v>352081.96</v>
      </c>
      <c r="AS16" s="34"/>
      <c r="AT16" s="34"/>
      <c r="AU16" s="34"/>
      <c r="AV16" s="34"/>
      <c r="AW16" s="34"/>
      <c r="AX16" s="4"/>
    </row>
    <row r="17" spans="1:50" x14ac:dyDescent="0.3">
      <c r="A17" s="63"/>
      <c r="B17" s="64"/>
      <c r="C17" s="65" t="s">
        <v>279</v>
      </c>
      <c r="D17" s="69" t="s">
        <v>168</v>
      </c>
      <c r="E17" s="73">
        <v>19854.349999999999</v>
      </c>
      <c r="F17" s="65" t="s">
        <v>280</v>
      </c>
      <c r="G17" s="68" t="s">
        <v>79</v>
      </c>
      <c r="H17" s="73"/>
      <c r="I17" s="73"/>
      <c r="J17" s="73"/>
      <c r="K17" s="73"/>
      <c r="L17" s="73"/>
      <c r="M17" s="73">
        <f t="shared" ref="M17:M22" si="5">(T17-R17)-Z17</f>
        <v>0</v>
      </c>
      <c r="N17" s="73">
        <f t="shared" si="1"/>
        <v>0</v>
      </c>
      <c r="O17" s="73"/>
      <c r="P17" s="73"/>
      <c r="Q17" s="73"/>
      <c r="R17" s="73">
        <f t="shared" si="2"/>
        <v>0</v>
      </c>
      <c r="S17" s="73"/>
      <c r="T17" s="73"/>
      <c r="U17" s="73"/>
      <c r="V17" s="73"/>
      <c r="W17" s="73"/>
      <c r="X17" s="73"/>
      <c r="Y17" s="73"/>
      <c r="Z17" s="73"/>
      <c r="AA17" s="70">
        <v>46042</v>
      </c>
      <c r="AB17" s="71" t="s">
        <v>80</v>
      </c>
      <c r="AC17" s="72" t="s">
        <v>281</v>
      </c>
      <c r="AD17" s="73"/>
      <c r="AE17" s="69">
        <f t="shared" si="0"/>
        <v>0</v>
      </c>
      <c r="AF17" s="69">
        <f t="shared" si="3"/>
        <v>0</v>
      </c>
      <c r="AG17" s="1">
        <v>20201030</v>
      </c>
      <c r="AH17" s="6"/>
      <c r="AI17" s="4"/>
      <c r="AJ17" s="77">
        <v>46042</v>
      </c>
      <c r="AK17" s="78">
        <v>0.375</v>
      </c>
      <c r="AL17" s="77">
        <v>46042</v>
      </c>
      <c r="AM17" s="78">
        <v>0.5</v>
      </c>
      <c r="AN17" s="14" t="str">
        <f t="shared" si="4"/>
        <v>3:00</v>
      </c>
      <c r="AO17" s="14">
        <f t="shared" ref="AO17:AO22" si="6">+AN17/8</f>
        <v>1.5625E-2</v>
      </c>
      <c r="AP17" s="4"/>
      <c r="AQ17" s="34" t="s">
        <v>102</v>
      </c>
      <c r="AR17" s="73">
        <v>19854.349999999999</v>
      </c>
      <c r="AS17" s="34"/>
      <c r="AT17" s="34"/>
      <c r="AU17" s="34"/>
      <c r="AV17" s="34"/>
      <c r="AW17" s="34"/>
      <c r="AX17" s="4"/>
    </row>
    <row r="18" spans="1:50" x14ac:dyDescent="0.3">
      <c r="A18" s="63"/>
      <c r="B18" s="64"/>
      <c r="C18" s="65" t="s">
        <v>123</v>
      </c>
      <c r="D18" s="69" t="s">
        <v>168</v>
      </c>
      <c r="E18" s="73">
        <v>243333.56</v>
      </c>
      <c r="F18" s="65" t="s">
        <v>282</v>
      </c>
      <c r="G18" s="68" t="s">
        <v>79</v>
      </c>
      <c r="H18" s="73"/>
      <c r="I18" s="73"/>
      <c r="J18" s="73"/>
      <c r="K18" s="73"/>
      <c r="L18" s="73"/>
      <c r="M18" s="73">
        <f t="shared" si="5"/>
        <v>0</v>
      </c>
      <c r="N18" s="73">
        <f t="shared" si="1"/>
        <v>0</v>
      </c>
      <c r="O18" s="73"/>
      <c r="P18" s="73"/>
      <c r="Q18" s="73"/>
      <c r="R18" s="73">
        <f t="shared" si="2"/>
        <v>0</v>
      </c>
      <c r="S18" s="73"/>
      <c r="T18" s="73"/>
      <c r="U18" s="73"/>
      <c r="V18" s="73"/>
      <c r="W18" s="73"/>
      <c r="X18" s="73"/>
      <c r="Y18" s="73"/>
      <c r="Z18" s="73"/>
      <c r="AA18" s="70">
        <v>46042</v>
      </c>
      <c r="AB18" s="71" t="s">
        <v>80</v>
      </c>
      <c r="AC18" s="72" t="s">
        <v>283</v>
      </c>
      <c r="AD18" s="73"/>
      <c r="AE18" s="69">
        <f t="shared" si="0"/>
        <v>0</v>
      </c>
      <c r="AF18" s="69">
        <f t="shared" si="3"/>
        <v>0</v>
      </c>
      <c r="AG18" s="1"/>
      <c r="AH18" s="6"/>
      <c r="AI18" s="4"/>
      <c r="AJ18" s="77">
        <v>46042</v>
      </c>
      <c r="AK18" s="78">
        <v>0.375</v>
      </c>
      <c r="AL18" s="77">
        <v>46042</v>
      </c>
      <c r="AM18" s="78">
        <v>0.5</v>
      </c>
      <c r="AN18" s="14" t="str">
        <f t="shared" si="4"/>
        <v>3:00</v>
      </c>
      <c r="AO18" s="14">
        <f t="shared" si="6"/>
        <v>1.5625E-2</v>
      </c>
      <c r="AP18" s="4"/>
      <c r="AQ18" s="34" t="s">
        <v>87</v>
      </c>
      <c r="AR18" s="73">
        <v>243333.56</v>
      </c>
      <c r="AS18" s="34"/>
      <c r="AT18" s="34"/>
      <c r="AU18" s="34"/>
      <c r="AV18" s="34"/>
      <c r="AW18" s="34"/>
      <c r="AX18" s="4"/>
    </row>
    <row r="19" spans="1:50" x14ac:dyDescent="0.3">
      <c r="A19" s="63"/>
      <c r="B19" s="64"/>
      <c r="C19" s="65" t="s">
        <v>284</v>
      </c>
      <c r="D19" s="69" t="s">
        <v>168</v>
      </c>
      <c r="E19" s="73">
        <v>3900</v>
      </c>
      <c r="F19" s="65" t="s">
        <v>285</v>
      </c>
      <c r="G19" s="68" t="s">
        <v>79</v>
      </c>
      <c r="H19" s="73"/>
      <c r="I19" s="73"/>
      <c r="J19" s="73"/>
      <c r="K19" s="73"/>
      <c r="L19" s="73"/>
      <c r="M19" s="73">
        <f t="shared" si="5"/>
        <v>0</v>
      </c>
      <c r="N19" s="73">
        <f t="shared" si="1"/>
        <v>0</v>
      </c>
      <c r="O19" s="73"/>
      <c r="P19" s="73"/>
      <c r="Q19" s="73"/>
      <c r="R19" s="73">
        <f t="shared" si="2"/>
        <v>0</v>
      </c>
      <c r="S19" s="73"/>
      <c r="T19" s="73"/>
      <c r="U19" s="73"/>
      <c r="V19" s="73"/>
      <c r="W19" s="73"/>
      <c r="X19" s="73"/>
      <c r="Y19" s="65"/>
      <c r="Z19" s="65"/>
      <c r="AA19" s="70">
        <v>46042</v>
      </c>
      <c r="AB19" s="71" t="s">
        <v>80</v>
      </c>
      <c r="AC19" s="72" t="s">
        <v>286</v>
      </c>
      <c r="AD19" s="73"/>
      <c r="AE19" s="69">
        <f t="shared" si="0"/>
        <v>0</v>
      </c>
      <c r="AF19" s="69">
        <f t="shared" si="3"/>
        <v>0</v>
      </c>
      <c r="AG19" s="1"/>
      <c r="AH19" s="6"/>
      <c r="AI19" s="4"/>
      <c r="AJ19" s="77">
        <v>46042</v>
      </c>
      <c r="AK19" s="78">
        <v>0.375</v>
      </c>
      <c r="AL19" s="77">
        <v>46042</v>
      </c>
      <c r="AM19" s="78">
        <v>0.5</v>
      </c>
      <c r="AN19" s="14" t="str">
        <f t="shared" si="4"/>
        <v>3:00</v>
      </c>
      <c r="AO19" s="14">
        <f t="shared" si="6"/>
        <v>1.5625E-2</v>
      </c>
      <c r="AP19" s="4"/>
      <c r="AQ19" s="34" t="s">
        <v>102</v>
      </c>
      <c r="AR19" s="73">
        <v>3900</v>
      </c>
      <c r="AS19" s="34"/>
      <c r="AT19" s="34"/>
      <c r="AU19" s="34"/>
      <c r="AV19" s="34"/>
      <c r="AW19" s="34"/>
      <c r="AX19" s="4"/>
    </row>
    <row r="20" spans="1:50" x14ac:dyDescent="0.3">
      <c r="A20" s="75" t="s">
        <v>80</v>
      </c>
      <c r="B20" s="64" t="s">
        <v>287</v>
      </c>
      <c r="C20" s="65" t="s">
        <v>226</v>
      </c>
      <c r="D20" s="69" t="s">
        <v>168</v>
      </c>
      <c r="E20" s="73">
        <f>199886.31+188208.94</f>
        <v>388095.25</v>
      </c>
      <c r="F20" s="65" t="s">
        <v>288</v>
      </c>
      <c r="G20" s="68" t="s">
        <v>79</v>
      </c>
      <c r="H20" s="73"/>
      <c r="I20" s="73"/>
      <c r="J20" s="73"/>
      <c r="K20" s="73"/>
      <c r="L20" s="73"/>
      <c r="M20" s="73">
        <f t="shared" si="5"/>
        <v>0</v>
      </c>
      <c r="N20" s="73">
        <f t="shared" si="1"/>
        <v>0</v>
      </c>
      <c r="O20" s="73"/>
      <c r="P20" s="73"/>
      <c r="Q20" s="73"/>
      <c r="R20" s="73">
        <f t="shared" si="2"/>
        <v>0</v>
      </c>
      <c r="S20" s="73"/>
      <c r="T20" s="73">
        <v>270415.08</v>
      </c>
      <c r="U20" s="73"/>
      <c r="V20" s="73"/>
      <c r="W20" s="73"/>
      <c r="X20" s="73"/>
      <c r="Y20" s="73">
        <v>270415.08</v>
      </c>
      <c r="Z20" s="73">
        <f>266515.08+3900</f>
        <v>270415.08</v>
      </c>
      <c r="AA20" s="70">
        <v>46042</v>
      </c>
      <c r="AB20" s="71" t="s">
        <v>80</v>
      </c>
      <c r="AC20" s="72" t="s">
        <v>289</v>
      </c>
      <c r="AD20" s="73"/>
      <c r="AE20" s="69">
        <f t="shared" si="0"/>
        <v>270415.08</v>
      </c>
      <c r="AF20" s="69">
        <f t="shared" si="3"/>
        <v>-270415.08</v>
      </c>
      <c r="AG20" s="1" t="s">
        <v>290</v>
      </c>
      <c r="AH20" s="6"/>
      <c r="AI20" s="4"/>
      <c r="AJ20" s="77">
        <v>46042</v>
      </c>
      <c r="AK20" s="78">
        <v>0.41666666666666669</v>
      </c>
      <c r="AL20" s="77">
        <v>46042</v>
      </c>
      <c r="AM20" s="78">
        <v>0.5</v>
      </c>
      <c r="AN20" s="14" t="str">
        <f t="shared" si="4"/>
        <v>2:00</v>
      </c>
      <c r="AO20" s="14">
        <f t="shared" si="6"/>
        <v>1.0416666666666666E-2</v>
      </c>
      <c r="AP20" s="4"/>
      <c r="AQ20" s="34" t="s">
        <v>102</v>
      </c>
      <c r="AR20" s="94">
        <f t="shared" ref="AR20:AR22" si="7">+E20+Z20</f>
        <v>658510.33000000007</v>
      </c>
      <c r="AS20" s="34"/>
      <c r="AT20" s="34"/>
      <c r="AU20" s="34"/>
      <c r="AV20" s="34"/>
      <c r="AW20" s="34"/>
      <c r="AX20" s="4"/>
    </row>
    <row r="21" spans="1:50" x14ac:dyDescent="0.3">
      <c r="A21" s="75" t="s">
        <v>80</v>
      </c>
      <c r="B21" s="64" t="s">
        <v>291</v>
      </c>
      <c r="C21" s="65" t="s">
        <v>279</v>
      </c>
      <c r="D21" s="69" t="s">
        <v>168</v>
      </c>
      <c r="E21" s="73">
        <f>54434.3+64000</f>
        <v>118434.3</v>
      </c>
      <c r="F21" s="65" t="s">
        <v>292</v>
      </c>
      <c r="G21" s="68" t="s">
        <v>79</v>
      </c>
      <c r="H21" s="73"/>
      <c r="I21" s="73"/>
      <c r="J21" s="73"/>
      <c r="K21" s="73"/>
      <c r="L21" s="73"/>
      <c r="M21" s="73">
        <f t="shared" si="5"/>
        <v>0</v>
      </c>
      <c r="N21" s="73">
        <f t="shared" si="1"/>
        <v>0</v>
      </c>
      <c r="O21" s="73"/>
      <c r="P21" s="73"/>
      <c r="Q21" s="73"/>
      <c r="R21" s="73">
        <f t="shared" si="2"/>
        <v>0</v>
      </c>
      <c r="S21" s="73"/>
      <c r="T21" s="73">
        <v>7800</v>
      </c>
      <c r="U21" s="73"/>
      <c r="V21" s="73"/>
      <c r="W21" s="73"/>
      <c r="X21" s="73"/>
      <c r="Y21" s="73">
        <v>7800</v>
      </c>
      <c r="Z21" s="73">
        <v>7800</v>
      </c>
      <c r="AA21" s="70">
        <v>46042</v>
      </c>
      <c r="AB21" s="71" t="s">
        <v>80</v>
      </c>
      <c r="AC21" s="72" t="s">
        <v>293</v>
      </c>
      <c r="AD21" s="73"/>
      <c r="AE21" s="69">
        <f t="shared" si="0"/>
        <v>7800</v>
      </c>
      <c r="AF21" s="69">
        <f t="shared" si="3"/>
        <v>-7800</v>
      </c>
      <c r="AG21" s="1">
        <v>20201030</v>
      </c>
      <c r="AH21" s="6"/>
      <c r="AI21" s="4"/>
      <c r="AJ21" s="77">
        <v>46042</v>
      </c>
      <c r="AK21" s="78">
        <v>0.41666666666666669</v>
      </c>
      <c r="AL21" s="77">
        <v>46042</v>
      </c>
      <c r="AM21" s="78">
        <v>0.5</v>
      </c>
      <c r="AN21" s="14" t="str">
        <f t="shared" si="4"/>
        <v>2:00</v>
      </c>
      <c r="AO21" s="14">
        <f t="shared" si="6"/>
        <v>1.0416666666666666E-2</v>
      </c>
      <c r="AP21" s="4"/>
      <c r="AQ21" s="34" t="s">
        <v>102</v>
      </c>
      <c r="AR21" s="94">
        <f t="shared" si="7"/>
        <v>126234.3</v>
      </c>
      <c r="AS21" s="34"/>
      <c r="AT21" s="34"/>
      <c r="AU21" s="34"/>
      <c r="AV21" s="34"/>
      <c r="AW21" s="34"/>
      <c r="AX21" s="4"/>
    </row>
    <row r="22" spans="1:50" x14ac:dyDescent="0.3">
      <c r="A22" s="75" t="s">
        <v>80</v>
      </c>
      <c r="B22" s="64" t="s">
        <v>294</v>
      </c>
      <c r="C22" s="65" t="s">
        <v>295</v>
      </c>
      <c r="D22" s="69" t="s">
        <v>168</v>
      </c>
      <c r="E22" s="73">
        <v>54012.2</v>
      </c>
      <c r="F22" s="65" t="s">
        <v>296</v>
      </c>
      <c r="G22" s="68" t="s">
        <v>79</v>
      </c>
      <c r="H22" s="73"/>
      <c r="I22" s="73"/>
      <c r="J22" s="73"/>
      <c r="K22" s="73"/>
      <c r="L22" s="73"/>
      <c r="M22" s="73">
        <f t="shared" si="5"/>
        <v>0</v>
      </c>
      <c r="N22" s="73">
        <f t="shared" si="1"/>
        <v>0</v>
      </c>
      <c r="O22" s="73"/>
      <c r="P22" s="73"/>
      <c r="Q22" s="73"/>
      <c r="R22" s="73">
        <f t="shared" si="2"/>
        <v>0</v>
      </c>
      <c r="S22" s="73"/>
      <c r="T22" s="73">
        <v>54012.3</v>
      </c>
      <c r="U22" s="73"/>
      <c r="V22" s="73"/>
      <c r="W22" s="73"/>
      <c r="X22" s="73"/>
      <c r="Y22" s="73">
        <v>54012.3</v>
      </c>
      <c r="Z22" s="73">
        <v>54012.3</v>
      </c>
      <c r="AA22" s="70">
        <v>46042</v>
      </c>
      <c r="AB22" s="71" t="s">
        <v>80</v>
      </c>
      <c r="AC22" s="72" t="s">
        <v>297</v>
      </c>
      <c r="AD22" s="73"/>
      <c r="AE22" s="69">
        <f t="shared" si="0"/>
        <v>54012.3</v>
      </c>
      <c r="AF22" s="69">
        <f t="shared" si="3"/>
        <v>-54012.3</v>
      </c>
      <c r="AG22" s="1" t="s">
        <v>298</v>
      </c>
      <c r="AH22" s="6"/>
      <c r="AI22" s="4"/>
      <c r="AJ22" s="77">
        <v>46042</v>
      </c>
      <c r="AK22" s="78">
        <v>0.41666666666666669</v>
      </c>
      <c r="AL22" s="77">
        <v>46042</v>
      </c>
      <c r="AM22" s="78">
        <v>0.5</v>
      </c>
      <c r="AN22" s="14" t="str">
        <f t="shared" si="4"/>
        <v>2:00</v>
      </c>
      <c r="AO22" s="14">
        <f t="shared" si="6"/>
        <v>1.0416666666666666E-2</v>
      </c>
      <c r="AP22" s="4"/>
      <c r="AQ22" s="34" t="s">
        <v>102</v>
      </c>
      <c r="AR22" s="94">
        <f t="shared" si="7"/>
        <v>108024.5</v>
      </c>
      <c r="AS22" s="34"/>
      <c r="AT22" s="34"/>
      <c r="AU22" s="34"/>
      <c r="AV22" s="34"/>
      <c r="AW22" s="34"/>
      <c r="AX22" s="4"/>
    </row>
    <row r="23" spans="1:50" x14ac:dyDescent="0.3">
      <c r="A23" s="63"/>
      <c r="B23" s="64"/>
      <c r="C23" s="65" t="s">
        <v>123</v>
      </c>
      <c r="D23" s="69" t="s">
        <v>168</v>
      </c>
      <c r="E23" s="63" t="s">
        <v>84</v>
      </c>
      <c r="F23" s="65" t="s">
        <v>321</v>
      </c>
      <c r="G23" s="68" t="s">
        <v>79</v>
      </c>
      <c r="H23" s="73"/>
      <c r="I23" s="73"/>
      <c r="J23" s="73"/>
      <c r="K23" s="73"/>
      <c r="L23" s="73"/>
      <c r="M23" s="73"/>
      <c r="N23" s="73">
        <f t="shared" si="1"/>
        <v>0</v>
      </c>
      <c r="O23" s="73"/>
      <c r="P23" s="73"/>
      <c r="Q23" s="73"/>
      <c r="R23" s="73">
        <f t="shared" si="2"/>
        <v>0</v>
      </c>
      <c r="S23" s="73"/>
      <c r="T23" s="73"/>
      <c r="U23" s="73"/>
      <c r="V23" s="73"/>
      <c r="W23" s="73"/>
      <c r="X23" s="73"/>
      <c r="Y23" s="73"/>
      <c r="Z23" s="73">
        <v>352081.87</v>
      </c>
      <c r="AA23" s="70">
        <v>46044</v>
      </c>
      <c r="AB23" s="71" t="s">
        <v>80</v>
      </c>
      <c r="AC23" s="72" t="s">
        <v>322</v>
      </c>
      <c r="AD23" s="73"/>
      <c r="AE23" s="69">
        <f t="shared" si="0"/>
        <v>0</v>
      </c>
      <c r="AF23" s="69">
        <f t="shared" si="3"/>
        <v>0</v>
      </c>
      <c r="AG23" s="1">
        <v>20101020</v>
      </c>
      <c r="AH23" s="6"/>
      <c r="AI23" s="4"/>
      <c r="AJ23" s="77">
        <v>46044</v>
      </c>
      <c r="AK23" s="78">
        <v>0.39583333333333331</v>
      </c>
      <c r="AL23" s="77">
        <v>46044</v>
      </c>
      <c r="AM23" s="78">
        <v>0.62152777777777779</v>
      </c>
      <c r="AN23" s="14" t="str">
        <f t="shared" ref="AN23:AN24" si="8">+TEXT(AM23-AK23-$AH$2,"h:mm")</f>
        <v>4:25</v>
      </c>
      <c r="AO23" s="14">
        <f t="shared" ref="AO23:AO24" si="9">+AN23/3</f>
        <v>6.1342592592592594E-2</v>
      </c>
      <c r="AP23" s="4"/>
      <c r="AQ23" s="34" t="s">
        <v>102</v>
      </c>
      <c r="AR23" s="73">
        <v>352081.87</v>
      </c>
      <c r="AS23" s="34"/>
      <c r="AT23" s="34"/>
      <c r="AU23" s="34"/>
      <c r="AV23" s="34"/>
      <c r="AW23" s="34"/>
      <c r="AX23" s="4"/>
    </row>
    <row r="24" spans="1:50" x14ac:dyDescent="0.3">
      <c r="A24" s="63"/>
      <c r="B24" s="64"/>
      <c r="C24" s="65" t="s">
        <v>123</v>
      </c>
      <c r="D24" s="69" t="s">
        <v>168</v>
      </c>
      <c r="E24" s="63" t="s">
        <v>84</v>
      </c>
      <c r="F24" s="65" t="s">
        <v>323</v>
      </c>
      <c r="G24" s="68" t="s">
        <v>79</v>
      </c>
      <c r="H24" s="73"/>
      <c r="I24" s="73"/>
      <c r="J24" s="73"/>
      <c r="K24" s="73"/>
      <c r="L24" s="73"/>
      <c r="M24" s="73"/>
      <c r="N24" s="73">
        <f t="shared" si="1"/>
        <v>0</v>
      </c>
      <c r="O24" s="73"/>
      <c r="P24" s="73"/>
      <c r="Q24" s="73"/>
      <c r="R24" s="73">
        <f t="shared" si="2"/>
        <v>0</v>
      </c>
      <c r="S24" s="73"/>
      <c r="T24" s="73"/>
      <c r="U24" s="73"/>
      <c r="V24" s="73"/>
      <c r="W24" s="73"/>
      <c r="X24" s="73"/>
      <c r="Y24" s="73"/>
      <c r="Z24" s="73">
        <v>265878.34999999998</v>
      </c>
      <c r="AA24" s="70">
        <v>46044</v>
      </c>
      <c r="AB24" s="71" t="s">
        <v>80</v>
      </c>
      <c r="AC24" s="72" t="s">
        <v>324</v>
      </c>
      <c r="AD24" s="73"/>
      <c r="AE24" s="69">
        <f t="shared" si="0"/>
        <v>0</v>
      </c>
      <c r="AF24" s="69">
        <f t="shared" si="3"/>
        <v>0</v>
      </c>
      <c r="AG24" s="1">
        <v>20101020</v>
      </c>
      <c r="AH24" s="6"/>
      <c r="AI24" s="4"/>
      <c r="AJ24" s="77">
        <v>46044</v>
      </c>
      <c r="AK24" s="78">
        <v>0.39583333333333331</v>
      </c>
      <c r="AL24" s="77">
        <v>46044</v>
      </c>
      <c r="AM24" s="78">
        <v>0.62152777777777779</v>
      </c>
      <c r="AN24" s="14" t="str">
        <f t="shared" si="8"/>
        <v>4:25</v>
      </c>
      <c r="AO24" s="14">
        <f t="shared" si="9"/>
        <v>6.1342592592592594E-2</v>
      </c>
      <c r="AP24" s="4"/>
      <c r="AQ24" s="34" t="s">
        <v>102</v>
      </c>
      <c r="AR24" s="73">
        <v>265878.34999999998</v>
      </c>
      <c r="AS24" s="34"/>
      <c r="AT24" s="34"/>
      <c r="AU24" s="34"/>
      <c r="AV24" s="34"/>
      <c r="AW24" s="34"/>
      <c r="AX24" s="4"/>
    </row>
    <row r="25" spans="1:50" x14ac:dyDescent="0.3">
      <c r="A25" s="63"/>
      <c r="B25" s="64"/>
      <c r="C25" s="65"/>
      <c r="D25" s="69"/>
      <c r="E25" s="63"/>
      <c r="F25" s="65"/>
      <c r="G25" s="68" t="s">
        <v>79</v>
      </c>
      <c r="H25" s="73"/>
      <c r="I25" s="73"/>
      <c r="J25" s="73"/>
      <c r="K25" s="73"/>
      <c r="L25" s="73"/>
      <c r="M25" s="73">
        <f>(T25-R25)-Z25</f>
        <v>0</v>
      </c>
      <c r="N25" s="73">
        <f t="shared" si="1"/>
        <v>0</v>
      </c>
      <c r="O25" s="73"/>
      <c r="P25" s="73"/>
      <c r="Q25" s="73"/>
      <c r="R25" s="73">
        <f t="shared" si="2"/>
        <v>0</v>
      </c>
      <c r="S25" s="73"/>
      <c r="T25" s="73"/>
      <c r="U25" s="73"/>
      <c r="V25" s="73"/>
      <c r="W25" s="73"/>
      <c r="X25" s="73"/>
      <c r="Y25" s="73"/>
      <c r="Z25" s="73"/>
      <c r="AA25" s="70"/>
      <c r="AB25" s="71"/>
      <c r="AC25" s="72"/>
      <c r="AD25" s="73"/>
      <c r="AE25" s="69">
        <f t="shared" si="0"/>
        <v>0</v>
      </c>
      <c r="AF25" s="69">
        <f t="shared" si="3"/>
        <v>0</v>
      </c>
      <c r="AG25" s="1"/>
      <c r="AH25" s="6"/>
      <c r="AI25" s="4"/>
      <c r="AJ25" s="77"/>
      <c r="AK25" s="78"/>
      <c r="AL25" s="77"/>
      <c r="AM25" s="78"/>
      <c r="AN25" s="14"/>
      <c r="AO25" s="14"/>
      <c r="AP25" s="4"/>
      <c r="AQ25" s="34"/>
      <c r="AR25" s="34"/>
      <c r="AS25" s="34"/>
      <c r="AT25" s="34"/>
      <c r="AU25" s="34"/>
      <c r="AV25" s="34"/>
      <c r="AW25" s="34"/>
      <c r="AX25" s="4"/>
    </row>
    <row r="26" spans="1:50" x14ac:dyDescent="0.3">
      <c r="A26" s="63"/>
      <c r="B26" s="64"/>
      <c r="C26" s="65"/>
      <c r="D26" s="69"/>
      <c r="E26" s="98">
        <f>SUM(E13:E24)</f>
        <v>827629.65999999992</v>
      </c>
      <c r="F26" s="65"/>
      <c r="G26" s="68" t="s">
        <v>79</v>
      </c>
      <c r="H26" s="98">
        <f t="shared" ref="H26:Z26" si="10">SUM(H13:H24)</f>
        <v>268453.95</v>
      </c>
      <c r="I26" s="98">
        <f t="shared" si="10"/>
        <v>0</v>
      </c>
      <c r="J26" s="98">
        <f t="shared" si="10"/>
        <v>0</v>
      </c>
      <c r="K26" s="98">
        <f t="shared" si="10"/>
        <v>0</v>
      </c>
      <c r="L26" s="98">
        <f t="shared" si="10"/>
        <v>0</v>
      </c>
      <c r="M26" s="98">
        <f t="shared" si="10"/>
        <v>0</v>
      </c>
      <c r="N26" s="98">
        <f t="shared" si="10"/>
        <v>268453.95</v>
      </c>
      <c r="O26" s="98">
        <f t="shared" si="10"/>
        <v>0</v>
      </c>
      <c r="P26" s="98">
        <f t="shared" si="10"/>
        <v>0</v>
      </c>
      <c r="Q26" s="98">
        <f t="shared" si="10"/>
        <v>0</v>
      </c>
      <c r="R26" s="98">
        <f t="shared" si="10"/>
        <v>268453.95</v>
      </c>
      <c r="S26" s="98">
        <f t="shared" si="10"/>
        <v>617960.22</v>
      </c>
      <c r="T26" s="98">
        <f t="shared" si="10"/>
        <v>2784342.23</v>
      </c>
      <c r="U26" s="98">
        <f t="shared" si="10"/>
        <v>0</v>
      </c>
      <c r="V26" s="98">
        <f t="shared" si="10"/>
        <v>0</v>
      </c>
      <c r="W26" s="98">
        <f t="shared" si="10"/>
        <v>0</v>
      </c>
      <c r="X26" s="98">
        <f t="shared" si="10"/>
        <v>0</v>
      </c>
      <c r="Y26" s="98">
        <f t="shared" si="10"/>
        <v>2784342.23</v>
      </c>
      <c r="Z26" s="98">
        <f t="shared" si="10"/>
        <v>1688258.62</v>
      </c>
      <c r="AA26" s="70"/>
      <c r="AB26" s="71"/>
      <c r="AC26" s="72"/>
      <c r="AD26" s="73"/>
      <c r="AE26" s="69"/>
      <c r="AF26" s="69">
        <f t="shared" si="3"/>
        <v>0</v>
      </c>
      <c r="AG26" s="99">
        <f>SUM(AE14:AE24)</f>
        <v>2515888.2799999998</v>
      </c>
      <c r="AH26" s="6"/>
      <c r="AI26" s="4"/>
      <c r="AJ26" s="77"/>
      <c r="AK26" s="78"/>
      <c r="AL26" s="77"/>
      <c r="AM26" s="78"/>
      <c r="AN26" s="14"/>
      <c r="AO26" s="14"/>
      <c r="AP26" s="4"/>
      <c r="AQ26" s="34"/>
      <c r="AR26" s="100">
        <f t="shared" ref="AR26:AW26" si="11">SUM(AR14:AR24)</f>
        <v>2515888.2800000003</v>
      </c>
      <c r="AS26" s="100">
        <f t="shared" si="11"/>
        <v>0</v>
      </c>
      <c r="AT26" s="100">
        <f t="shared" si="11"/>
        <v>0</v>
      </c>
      <c r="AU26" s="100">
        <f t="shared" si="11"/>
        <v>0</v>
      </c>
      <c r="AV26" s="100">
        <f t="shared" si="11"/>
        <v>0</v>
      </c>
      <c r="AW26" s="100">
        <f t="shared" si="11"/>
        <v>0</v>
      </c>
      <c r="AX26" s="17">
        <f>SUM(AR26:AW26)</f>
        <v>2515888.2800000003</v>
      </c>
    </row>
    <row r="27" spans="1:50" x14ac:dyDescent="0.3">
      <c r="A27" s="63"/>
      <c r="B27" s="64"/>
      <c r="C27" s="65"/>
      <c r="D27" s="69"/>
      <c r="E27" s="98">
        <f>E26+Z26</f>
        <v>2515888.2800000003</v>
      </c>
      <c r="F27" s="65"/>
      <c r="G27" s="68"/>
      <c r="H27" s="98"/>
      <c r="I27" s="98"/>
      <c r="J27" s="98"/>
      <c r="K27" s="98"/>
      <c r="L27" s="98"/>
      <c r="M27" s="101"/>
      <c r="N27" s="101"/>
      <c r="O27" s="98"/>
      <c r="P27" s="98"/>
      <c r="Q27" s="98"/>
      <c r="R27" s="101"/>
      <c r="S27" s="98"/>
      <c r="T27" s="98"/>
      <c r="U27" s="98"/>
      <c r="V27" s="98"/>
      <c r="W27" s="98"/>
      <c r="X27" s="98"/>
      <c r="Y27" s="98"/>
      <c r="Z27" s="98"/>
      <c r="AA27" s="70"/>
      <c r="AB27" s="71"/>
      <c r="AC27" s="72"/>
      <c r="AD27" s="73"/>
      <c r="AE27" s="69"/>
      <c r="AF27" s="69">
        <f t="shared" si="3"/>
        <v>0</v>
      </c>
      <c r="AG27" s="99">
        <f>AG26-E27</f>
        <v>0</v>
      </c>
      <c r="AH27" s="6"/>
      <c r="AI27" s="4"/>
      <c r="AJ27" s="77"/>
      <c r="AK27" s="78"/>
      <c r="AL27" s="77"/>
      <c r="AM27" s="78"/>
      <c r="AN27" s="14"/>
      <c r="AO27" s="14"/>
      <c r="AP27" s="4"/>
      <c r="AQ27" s="34" t="s">
        <v>375</v>
      </c>
      <c r="AR27" s="94">
        <f>H26</f>
        <v>268453.95</v>
      </c>
      <c r="AS27" s="34"/>
      <c r="AT27" s="34"/>
      <c r="AU27" s="34"/>
      <c r="AV27" s="34"/>
      <c r="AW27" s="34"/>
      <c r="AX27" s="17">
        <f>AX26-E27</f>
        <v>0</v>
      </c>
    </row>
    <row r="28" spans="1:50" x14ac:dyDescent="0.3">
      <c r="A28" s="63"/>
      <c r="B28" s="65"/>
      <c r="C28" s="65"/>
      <c r="D28" s="69"/>
      <c r="E28" s="63"/>
      <c r="F28" s="65"/>
      <c r="G28" s="68" t="s">
        <v>79</v>
      </c>
      <c r="H28" s="73"/>
      <c r="I28" s="73"/>
      <c r="J28" s="73"/>
      <c r="K28" s="73"/>
      <c r="L28" s="73"/>
      <c r="M28" s="73">
        <f t="shared" ref="M28:M30" si="12">(T28-R28)-Z28</f>
        <v>0</v>
      </c>
      <c r="N28" s="73">
        <f t="shared" ref="N28:N30" si="13">SUM(H28:L28)</f>
        <v>0</v>
      </c>
      <c r="O28" s="73"/>
      <c r="P28" s="73"/>
      <c r="Q28" s="73"/>
      <c r="R28" s="73">
        <f t="shared" ref="R28:R47" si="14">+N28+SUM(O28:Q28)</f>
        <v>0</v>
      </c>
      <c r="S28" s="73"/>
      <c r="T28" s="73"/>
      <c r="U28" s="73"/>
      <c r="V28" s="73"/>
      <c r="W28" s="73"/>
      <c r="X28" s="73"/>
      <c r="Y28" s="73"/>
      <c r="Z28" s="73"/>
      <c r="AA28" s="92"/>
      <c r="AB28" s="71"/>
      <c r="AC28" s="72"/>
      <c r="AD28" s="73"/>
      <c r="AE28" s="69"/>
      <c r="AF28" s="69">
        <f t="shared" si="3"/>
        <v>0</v>
      </c>
      <c r="AG28" s="1"/>
      <c r="AH28" s="6"/>
      <c r="AI28" s="4"/>
      <c r="AJ28" s="77"/>
      <c r="AK28" s="78"/>
      <c r="AL28" s="77"/>
      <c r="AM28" s="78"/>
      <c r="AN28" s="14"/>
      <c r="AO28" s="14"/>
      <c r="AP28" s="4"/>
      <c r="AQ28" s="34"/>
      <c r="AR28" s="34"/>
      <c r="AS28" s="34"/>
      <c r="AT28" s="34"/>
      <c r="AU28" s="34"/>
      <c r="AV28" s="34"/>
      <c r="AW28" s="34"/>
      <c r="AX28" s="4"/>
    </row>
    <row r="29" spans="1:50" x14ac:dyDescent="0.3">
      <c r="A29" s="63"/>
      <c r="B29" s="65"/>
      <c r="C29" s="65"/>
      <c r="D29" s="69"/>
      <c r="E29" s="63"/>
      <c r="F29" s="65"/>
      <c r="G29" s="68" t="s">
        <v>79</v>
      </c>
      <c r="H29" s="73"/>
      <c r="I29" s="73"/>
      <c r="J29" s="73"/>
      <c r="K29" s="73"/>
      <c r="L29" s="73"/>
      <c r="M29" s="73">
        <f t="shared" si="12"/>
        <v>0</v>
      </c>
      <c r="N29" s="73">
        <f t="shared" si="13"/>
        <v>0</v>
      </c>
      <c r="O29" s="73"/>
      <c r="P29" s="73"/>
      <c r="Q29" s="73"/>
      <c r="R29" s="73">
        <f t="shared" si="14"/>
        <v>0</v>
      </c>
      <c r="S29" s="73"/>
      <c r="T29" s="73"/>
      <c r="U29" s="73"/>
      <c r="V29" s="73"/>
      <c r="W29" s="73"/>
      <c r="X29" s="73"/>
      <c r="Y29" s="73"/>
      <c r="Z29" s="73"/>
      <c r="AA29" s="92"/>
      <c r="AB29" s="71"/>
      <c r="AC29" s="72"/>
      <c r="AD29" s="73"/>
      <c r="AE29" s="69"/>
      <c r="AF29" s="69">
        <f t="shared" si="3"/>
        <v>0</v>
      </c>
      <c r="AG29" s="1"/>
      <c r="AH29" s="6"/>
      <c r="AI29" s="4"/>
      <c r="AJ29" s="77"/>
      <c r="AK29" s="78"/>
      <c r="AL29" s="77"/>
      <c r="AM29" s="78"/>
      <c r="AN29" s="14"/>
      <c r="AO29" s="14"/>
      <c r="AP29" s="4"/>
      <c r="AQ29" s="34"/>
      <c r="AR29" s="34"/>
      <c r="AS29" s="34"/>
      <c r="AT29" s="34"/>
      <c r="AU29" s="34"/>
      <c r="AV29" s="34"/>
      <c r="AW29" s="34"/>
      <c r="AX29" s="4"/>
    </row>
    <row r="30" spans="1:50" x14ac:dyDescent="0.3">
      <c r="A30" s="63"/>
      <c r="B30" s="65"/>
      <c r="C30" s="65"/>
      <c r="D30" s="69"/>
      <c r="E30" s="63"/>
      <c r="F30" s="65"/>
      <c r="G30" s="68" t="s">
        <v>79</v>
      </c>
      <c r="H30" s="73"/>
      <c r="I30" s="73"/>
      <c r="J30" s="73"/>
      <c r="K30" s="73"/>
      <c r="L30" s="73"/>
      <c r="M30" s="73">
        <f t="shared" si="12"/>
        <v>0</v>
      </c>
      <c r="N30" s="73">
        <f t="shared" si="13"/>
        <v>0</v>
      </c>
      <c r="O30" s="73"/>
      <c r="P30" s="73"/>
      <c r="Q30" s="73"/>
      <c r="R30" s="73">
        <f t="shared" si="14"/>
        <v>0</v>
      </c>
      <c r="S30" s="142" t="s">
        <v>75</v>
      </c>
      <c r="T30" s="143"/>
      <c r="U30" s="73"/>
      <c r="V30" s="73"/>
      <c r="W30" s="73"/>
      <c r="X30" s="73"/>
      <c r="Y30" s="73"/>
      <c r="Z30" s="73"/>
      <c r="AA30" s="92"/>
      <c r="AB30" s="71"/>
      <c r="AC30" s="72"/>
      <c r="AD30" s="73"/>
      <c r="AE30" s="69"/>
      <c r="AF30" s="69">
        <f t="shared" si="3"/>
        <v>0</v>
      </c>
      <c r="AG30" s="1"/>
      <c r="AH30" s="6"/>
      <c r="AI30" s="4"/>
      <c r="AJ30" s="77"/>
      <c r="AK30" s="78"/>
      <c r="AL30" s="77"/>
      <c r="AM30" s="78"/>
      <c r="AN30" s="14"/>
      <c r="AO30" s="14"/>
      <c r="AP30" s="4"/>
      <c r="AQ30" s="34"/>
      <c r="AR30" s="34"/>
      <c r="AS30" s="34"/>
      <c r="AT30" s="34"/>
      <c r="AU30" s="34"/>
      <c r="AV30" s="34"/>
      <c r="AW30" s="34"/>
      <c r="AX30" s="4"/>
    </row>
    <row r="31" spans="1:50" x14ac:dyDescent="0.3">
      <c r="A31" s="63"/>
      <c r="B31" s="65"/>
      <c r="C31" s="65"/>
      <c r="D31" s="69"/>
      <c r="E31" s="63"/>
      <c r="F31" s="65"/>
      <c r="G31" s="68" t="s">
        <v>79</v>
      </c>
      <c r="H31" s="73"/>
      <c r="I31" s="73"/>
      <c r="J31" s="73"/>
      <c r="K31" s="73"/>
      <c r="L31" s="73"/>
      <c r="M31" s="73"/>
      <c r="N31" s="73"/>
      <c r="O31" s="73"/>
      <c r="P31" s="73"/>
      <c r="Q31" s="73"/>
      <c r="R31" s="73">
        <f t="shared" si="14"/>
        <v>0</v>
      </c>
      <c r="S31" s="143" t="s">
        <v>56</v>
      </c>
      <c r="T31" s="143">
        <f>T26-T20+3900-(SUM(U26:X26))</f>
        <v>2517827.15</v>
      </c>
      <c r="U31" s="73"/>
      <c r="V31" s="73"/>
      <c r="W31" s="73"/>
      <c r="X31" s="73"/>
      <c r="Y31" s="73"/>
      <c r="Z31" s="73"/>
      <c r="AA31" s="92"/>
      <c r="AB31" s="71"/>
      <c r="AC31" s="72"/>
      <c r="AD31" s="73"/>
      <c r="AE31" s="69"/>
      <c r="AF31" s="69">
        <f t="shared" si="3"/>
        <v>0</v>
      </c>
      <c r="AG31" s="1"/>
      <c r="AH31" s="6"/>
      <c r="AI31" s="4"/>
      <c r="AJ31" s="77"/>
      <c r="AK31" s="78"/>
      <c r="AL31" s="77"/>
      <c r="AM31" s="78"/>
      <c r="AN31" s="14"/>
      <c r="AO31" s="14"/>
      <c r="AP31" s="4"/>
      <c r="AQ31" s="34"/>
      <c r="AR31" s="34"/>
      <c r="AS31" s="34"/>
      <c r="AT31" s="34"/>
      <c r="AU31" s="34"/>
      <c r="AV31" s="34"/>
      <c r="AW31" s="34"/>
      <c r="AX31" s="4"/>
    </row>
    <row r="32" spans="1:50" x14ac:dyDescent="0.3">
      <c r="A32" s="63"/>
      <c r="B32" s="65"/>
      <c r="C32" s="65"/>
      <c r="D32" s="69"/>
      <c r="E32" s="63"/>
      <c r="F32" s="65"/>
      <c r="G32" s="68" t="s">
        <v>79</v>
      </c>
      <c r="H32" s="73"/>
      <c r="I32" s="73"/>
      <c r="J32" s="73"/>
      <c r="K32" s="73"/>
      <c r="L32" s="73"/>
      <c r="M32" s="73"/>
      <c r="N32" s="73"/>
      <c r="O32" s="73"/>
      <c r="P32" s="73"/>
      <c r="Q32" s="73"/>
      <c r="R32" s="73">
        <f t="shared" si="14"/>
        <v>0</v>
      </c>
      <c r="S32" s="143" t="s">
        <v>461</v>
      </c>
      <c r="T32" s="143">
        <f>+N25</f>
        <v>0</v>
      </c>
      <c r="U32" s="73"/>
      <c r="V32" s="73"/>
      <c r="W32" s="73"/>
      <c r="X32" s="73"/>
      <c r="Y32" s="73"/>
      <c r="Z32" s="73"/>
      <c r="AA32" s="92"/>
      <c r="AB32" s="71"/>
      <c r="AC32" s="72"/>
      <c r="AD32" s="73"/>
      <c r="AE32" s="69"/>
      <c r="AF32" s="69">
        <f t="shared" si="3"/>
        <v>0</v>
      </c>
      <c r="AG32" s="1"/>
      <c r="AH32" s="6"/>
      <c r="AI32" s="4"/>
      <c r="AJ32" s="77"/>
      <c r="AK32" s="78"/>
      <c r="AL32" s="77"/>
      <c r="AM32" s="78"/>
      <c r="AN32" s="14"/>
      <c r="AO32" s="14"/>
      <c r="AP32" s="4"/>
      <c r="AQ32" s="34"/>
      <c r="AR32" s="34"/>
      <c r="AS32" s="34"/>
      <c r="AT32" s="34"/>
      <c r="AU32" s="34"/>
      <c r="AV32" s="34"/>
      <c r="AW32" s="34"/>
      <c r="AX32" s="4"/>
    </row>
    <row r="33" spans="1:50" x14ac:dyDescent="0.3">
      <c r="A33" s="63"/>
      <c r="B33" s="65"/>
      <c r="C33" s="65"/>
      <c r="D33" s="69"/>
      <c r="E33" s="63"/>
      <c r="F33" s="65"/>
      <c r="G33" s="68" t="s">
        <v>79</v>
      </c>
      <c r="H33" s="73"/>
      <c r="I33" s="73"/>
      <c r="J33" s="73"/>
      <c r="K33" s="73"/>
      <c r="L33" s="73"/>
      <c r="M33" s="73"/>
      <c r="N33" s="73"/>
      <c r="O33" s="73"/>
      <c r="P33" s="73"/>
      <c r="Q33" s="73"/>
      <c r="R33" s="73">
        <f t="shared" si="14"/>
        <v>0</v>
      </c>
      <c r="S33" s="144" t="s">
        <v>462</v>
      </c>
      <c r="T33" s="143">
        <f>SUM(T31:T32)</f>
        <v>2517827.15</v>
      </c>
      <c r="U33" s="73"/>
      <c r="V33" s="73"/>
      <c r="W33" s="73"/>
      <c r="X33" s="73"/>
      <c r="Y33" s="73"/>
      <c r="Z33" s="73"/>
      <c r="AA33" s="92"/>
      <c r="AB33" s="71"/>
      <c r="AC33" s="72"/>
      <c r="AD33" s="73"/>
      <c r="AE33" s="69"/>
      <c r="AF33" s="69">
        <f t="shared" si="3"/>
        <v>0</v>
      </c>
      <c r="AG33" s="1"/>
      <c r="AH33" s="6"/>
      <c r="AI33" s="4"/>
      <c r="AJ33" s="77"/>
      <c r="AK33" s="78"/>
      <c r="AL33" s="77"/>
      <c r="AM33" s="78"/>
      <c r="AN33" s="14"/>
      <c r="AO33" s="14"/>
      <c r="AP33" s="4"/>
      <c r="AQ33" s="34"/>
      <c r="AR33" s="34"/>
      <c r="AS33" s="34"/>
      <c r="AT33" s="34"/>
      <c r="AU33" s="34"/>
      <c r="AV33" s="34"/>
      <c r="AW33" s="34"/>
      <c r="AX33" s="4"/>
    </row>
    <row r="34" spans="1:50" x14ac:dyDescent="0.3">
      <c r="A34" s="63"/>
      <c r="B34" s="65"/>
      <c r="C34" s="65"/>
      <c r="D34" s="69"/>
      <c r="E34" s="63"/>
      <c r="F34" s="65"/>
      <c r="G34" s="68" t="s">
        <v>79</v>
      </c>
      <c r="H34" s="73"/>
      <c r="I34" s="73"/>
      <c r="J34" s="73"/>
      <c r="K34" s="73"/>
      <c r="L34" s="73"/>
      <c r="M34" s="73"/>
      <c r="N34" s="73"/>
      <c r="O34" s="73"/>
      <c r="P34" s="73"/>
      <c r="Q34" s="73"/>
      <c r="R34" s="73">
        <f t="shared" si="14"/>
        <v>0</v>
      </c>
      <c r="S34" s="143" t="s">
        <v>463</v>
      </c>
      <c r="T34" s="143">
        <f>+Z25</f>
        <v>0</v>
      </c>
      <c r="U34" s="73"/>
      <c r="V34" s="73"/>
      <c r="W34" s="73"/>
      <c r="X34" s="73"/>
      <c r="Y34" s="73"/>
      <c r="Z34" s="73"/>
      <c r="AA34" s="92"/>
      <c r="AB34" s="71"/>
      <c r="AC34" s="72"/>
      <c r="AD34" s="73"/>
      <c r="AE34" s="69"/>
      <c r="AF34" s="69">
        <f t="shared" si="3"/>
        <v>0</v>
      </c>
      <c r="AG34" s="1"/>
      <c r="AH34" s="6"/>
      <c r="AI34" s="4"/>
      <c r="AJ34" s="77"/>
      <c r="AK34" s="78"/>
      <c r="AL34" s="77"/>
      <c r="AM34" s="78"/>
      <c r="AN34" s="14"/>
      <c r="AO34" s="14"/>
      <c r="AP34" s="4"/>
      <c r="AQ34" s="34"/>
      <c r="AR34" s="34"/>
      <c r="AS34" s="34"/>
      <c r="AT34" s="34"/>
      <c r="AU34" s="34"/>
      <c r="AV34" s="34"/>
      <c r="AW34" s="34"/>
      <c r="AX34" s="4"/>
    </row>
    <row r="35" spans="1:50" x14ac:dyDescent="0.3">
      <c r="A35" s="63"/>
      <c r="B35" s="65"/>
      <c r="C35" s="65"/>
      <c r="D35" s="69"/>
      <c r="E35" s="63"/>
      <c r="F35" s="65"/>
      <c r="G35" s="68" t="s">
        <v>79</v>
      </c>
      <c r="H35" s="73"/>
      <c r="I35" s="73"/>
      <c r="J35" s="73"/>
      <c r="K35" s="73"/>
      <c r="L35" s="73"/>
      <c r="M35" s="73"/>
      <c r="N35" s="73"/>
      <c r="O35" s="73"/>
      <c r="P35" s="73"/>
      <c r="Q35" s="73"/>
      <c r="R35" s="73">
        <f t="shared" si="14"/>
        <v>0</v>
      </c>
      <c r="S35" s="143" t="s">
        <v>464</v>
      </c>
      <c r="T35" s="143">
        <f>T20-3900</f>
        <v>266515.08</v>
      </c>
      <c r="U35" s="73"/>
      <c r="V35" s="73"/>
      <c r="W35" s="73"/>
      <c r="X35" s="73"/>
      <c r="Y35" s="73"/>
      <c r="Z35" s="73"/>
      <c r="AA35" s="92"/>
      <c r="AB35" s="71"/>
      <c r="AC35" s="72"/>
      <c r="AD35" s="73"/>
      <c r="AE35" s="69"/>
      <c r="AF35" s="69">
        <f t="shared" si="3"/>
        <v>0</v>
      </c>
      <c r="AG35" s="1"/>
      <c r="AH35" s="6"/>
      <c r="AI35" s="4"/>
      <c r="AJ35" s="77"/>
      <c r="AK35" s="78"/>
      <c r="AL35" s="77"/>
      <c r="AM35" s="78"/>
      <c r="AN35" s="14"/>
      <c r="AO35" s="14"/>
      <c r="AP35" s="4"/>
      <c r="AQ35" s="34"/>
      <c r="AR35" s="34"/>
      <c r="AS35" s="34"/>
      <c r="AT35" s="34"/>
      <c r="AU35" s="34"/>
      <c r="AV35" s="34"/>
      <c r="AW35" s="34"/>
      <c r="AX35" s="4"/>
    </row>
    <row r="36" spans="1:50" x14ac:dyDescent="0.3">
      <c r="A36" s="63"/>
      <c r="B36" s="65"/>
      <c r="C36" s="65"/>
      <c r="D36" s="69"/>
      <c r="E36" s="63"/>
      <c r="F36" s="65"/>
      <c r="G36" s="68" t="s">
        <v>79</v>
      </c>
      <c r="H36" s="73"/>
      <c r="I36" s="73"/>
      <c r="J36" s="73"/>
      <c r="K36" s="73"/>
      <c r="L36" s="73"/>
      <c r="M36" s="73"/>
      <c r="N36" s="73"/>
      <c r="O36" s="73"/>
      <c r="P36" s="73"/>
      <c r="Q36" s="73"/>
      <c r="R36" s="73">
        <f t="shared" si="14"/>
        <v>0</v>
      </c>
      <c r="S36" s="143" t="s">
        <v>465</v>
      </c>
      <c r="T36" s="143"/>
      <c r="U36" s="73"/>
      <c r="V36" s="73"/>
      <c r="W36" s="73"/>
      <c r="X36" s="73"/>
      <c r="Y36" s="73"/>
      <c r="Z36" s="73"/>
      <c r="AA36" s="92"/>
      <c r="AB36" s="71"/>
      <c r="AC36" s="72"/>
      <c r="AD36" s="73"/>
      <c r="AE36" s="69"/>
      <c r="AF36" s="69">
        <f t="shared" si="3"/>
        <v>0</v>
      </c>
      <c r="AG36" s="1"/>
      <c r="AH36" s="6"/>
      <c r="AI36" s="4"/>
      <c r="AJ36" s="77"/>
      <c r="AK36" s="78"/>
      <c r="AL36" s="77"/>
      <c r="AM36" s="78"/>
      <c r="AN36" s="14"/>
      <c r="AO36" s="14"/>
      <c r="AP36" s="4"/>
      <c r="AQ36" s="34"/>
      <c r="AR36" s="34"/>
      <c r="AS36" s="34"/>
      <c r="AT36" s="34"/>
      <c r="AU36" s="34"/>
      <c r="AV36" s="34"/>
      <c r="AW36" s="34"/>
      <c r="AX36" s="4"/>
    </row>
    <row r="37" spans="1:50" x14ac:dyDescent="0.3">
      <c r="A37" s="63"/>
      <c r="B37" s="65"/>
      <c r="C37" s="65"/>
      <c r="D37" s="69"/>
      <c r="E37" s="63"/>
      <c r="F37" s="65"/>
      <c r="G37" s="68" t="s">
        <v>79</v>
      </c>
      <c r="H37" s="73"/>
      <c r="I37" s="73"/>
      <c r="J37" s="73"/>
      <c r="K37" s="73"/>
      <c r="L37" s="73"/>
      <c r="M37" s="73"/>
      <c r="N37" s="73"/>
      <c r="O37" s="73"/>
      <c r="P37" s="73"/>
      <c r="Q37" s="73"/>
      <c r="R37" s="73">
        <f t="shared" si="14"/>
        <v>0</v>
      </c>
      <c r="S37" s="143" t="s">
        <v>66</v>
      </c>
      <c r="T37" s="143">
        <f>SUM(T33:T36)</f>
        <v>2784342.23</v>
      </c>
      <c r="U37" s="73"/>
      <c r="V37" s="73"/>
      <c r="W37" s="73"/>
      <c r="X37" s="73"/>
      <c r="Y37" s="73"/>
      <c r="Z37" s="73"/>
      <c r="AA37" s="92"/>
      <c r="AB37" s="71"/>
      <c r="AC37" s="72"/>
      <c r="AD37" s="73"/>
      <c r="AE37" s="69"/>
      <c r="AF37" s="69">
        <f t="shared" si="3"/>
        <v>0</v>
      </c>
      <c r="AG37" s="1"/>
      <c r="AH37" s="6"/>
      <c r="AI37" s="4"/>
      <c r="AJ37" s="77"/>
      <c r="AK37" s="78"/>
      <c r="AL37" s="77"/>
      <c r="AM37" s="78"/>
      <c r="AN37" s="14"/>
      <c r="AO37" s="14"/>
      <c r="AP37" s="4"/>
      <c r="AQ37" s="34"/>
      <c r="AR37" s="34"/>
      <c r="AS37" s="34"/>
      <c r="AT37" s="34"/>
      <c r="AU37" s="34"/>
      <c r="AV37" s="34"/>
      <c r="AW37" s="34"/>
      <c r="AX37" s="4"/>
    </row>
    <row r="38" spans="1:50" x14ac:dyDescent="0.3">
      <c r="A38" s="63"/>
      <c r="B38" s="64"/>
      <c r="C38" s="65"/>
      <c r="D38" s="69"/>
      <c r="E38" s="63"/>
      <c r="F38" s="65"/>
      <c r="G38" s="68" t="s">
        <v>79</v>
      </c>
      <c r="H38" s="73"/>
      <c r="I38" s="73"/>
      <c r="J38" s="73"/>
      <c r="K38" s="73"/>
      <c r="L38" s="73"/>
      <c r="M38" s="73"/>
      <c r="N38" s="73"/>
      <c r="O38" s="73"/>
      <c r="P38" s="73"/>
      <c r="Q38" s="73"/>
      <c r="R38" s="73">
        <f t="shared" si="14"/>
        <v>0</v>
      </c>
      <c r="S38" s="143"/>
      <c r="T38" s="143"/>
      <c r="U38" s="73"/>
      <c r="V38" s="73"/>
      <c r="W38" s="73"/>
      <c r="X38" s="73"/>
      <c r="Y38" s="73"/>
      <c r="Z38" s="73"/>
      <c r="AA38" s="70"/>
      <c r="AB38" s="71"/>
      <c r="AC38" s="72"/>
      <c r="AD38" s="73"/>
      <c r="AE38" s="69"/>
      <c r="AF38" s="69">
        <f t="shared" si="3"/>
        <v>0</v>
      </c>
      <c r="AG38" s="1"/>
      <c r="AH38" s="6"/>
      <c r="AI38" s="4"/>
      <c r="AJ38" s="77"/>
      <c r="AK38" s="78"/>
      <c r="AL38" s="77"/>
      <c r="AM38" s="78"/>
      <c r="AN38" s="14"/>
      <c r="AO38" s="14"/>
      <c r="AP38" s="4"/>
      <c r="AQ38" s="34"/>
      <c r="AR38" s="34"/>
      <c r="AS38" s="34"/>
      <c r="AT38" s="34"/>
      <c r="AU38" s="34"/>
      <c r="AV38" s="34"/>
      <c r="AW38" s="34"/>
      <c r="AX38" s="4"/>
    </row>
    <row r="39" spans="1:50" x14ac:dyDescent="0.3">
      <c r="A39" s="63"/>
      <c r="B39" s="64"/>
      <c r="C39" s="65"/>
      <c r="D39" s="69"/>
      <c r="E39" s="63"/>
      <c r="F39" s="65"/>
      <c r="G39" s="68" t="s">
        <v>79</v>
      </c>
      <c r="H39" s="73"/>
      <c r="I39" s="73"/>
      <c r="J39" s="73"/>
      <c r="K39" s="73"/>
      <c r="L39" s="73"/>
      <c r="M39" s="73"/>
      <c r="N39" s="73"/>
      <c r="O39" s="73"/>
      <c r="P39" s="73"/>
      <c r="Q39" s="73"/>
      <c r="R39" s="73">
        <f t="shared" si="14"/>
        <v>0</v>
      </c>
      <c r="S39" s="145" t="s">
        <v>466</v>
      </c>
      <c r="T39" s="146"/>
      <c r="U39" s="73"/>
      <c r="V39" s="73"/>
      <c r="W39" s="73"/>
      <c r="X39" s="73"/>
      <c r="Y39" s="73"/>
      <c r="Z39" s="73"/>
      <c r="AA39" s="70"/>
      <c r="AB39" s="71"/>
      <c r="AC39" s="72"/>
      <c r="AD39" s="73"/>
      <c r="AE39" s="69"/>
      <c r="AF39" s="69">
        <f t="shared" si="3"/>
        <v>0</v>
      </c>
      <c r="AG39" s="1"/>
      <c r="AH39" s="6"/>
      <c r="AI39" s="4"/>
      <c r="AJ39" s="77"/>
      <c r="AK39" s="78"/>
      <c r="AL39" s="77"/>
      <c r="AM39" s="78"/>
      <c r="AN39" s="14"/>
      <c r="AO39" s="14"/>
      <c r="AP39" s="4"/>
      <c r="AQ39" s="34"/>
      <c r="AR39" s="34"/>
      <c r="AS39" s="34"/>
      <c r="AT39" s="34"/>
      <c r="AU39" s="34"/>
      <c r="AV39" s="34"/>
      <c r="AW39" s="34"/>
      <c r="AX39" s="4"/>
    </row>
    <row r="40" spans="1:50" x14ac:dyDescent="0.3">
      <c r="A40" s="63"/>
      <c r="B40" s="64"/>
      <c r="C40" s="65"/>
      <c r="D40" s="69"/>
      <c r="E40" s="63"/>
      <c r="F40" s="65"/>
      <c r="G40" s="68" t="s">
        <v>79</v>
      </c>
      <c r="H40" s="73"/>
      <c r="I40" s="73"/>
      <c r="J40" s="73"/>
      <c r="K40" s="73"/>
      <c r="L40" s="73"/>
      <c r="M40" s="73"/>
      <c r="N40" s="73"/>
      <c r="O40" s="73"/>
      <c r="P40" s="73"/>
      <c r="Q40" s="73"/>
      <c r="R40" s="73">
        <f t="shared" si="14"/>
        <v>0</v>
      </c>
      <c r="S40" s="146" t="s">
        <v>56</v>
      </c>
      <c r="T40" s="146">
        <f>T33</f>
        <v>2517827.15</v>
      </c>
      <c r="U40" s="73"/>
      <c r="V40" s="73"/>
      <c r="W40" s="73"/>
      <c r="X40" s="73"/>
      <c r="Y40" s="73"/>
      <c r="Z40" s="73"/>
      <c r="AA40" s="70"/>
      <c r="AB40" s="71"/>
      <c r="AC40" s="72"/>
      <c r="AD40" s="73"/>
      <c r="AE40" s="69"/>
      <c r="AF40" s="69">
        <f t="shared" si="3"/>
        <v>0</v>
      </c>
      <c r="AG40" s="1"/>
      <c r="AH40" s="6"/>
      <c r="AI40" s="4"/>
      <c r="AJ40" s="77"/>
      <c r="AK40" s="78"/>
      <c r="AL40" s="77"/>
      <c r="AM40" s="78"/>
      <c r="AN40" s="14"/>
      <c r="AO40" s="14"/>
      <c r="AP40" s="4"/>
      <c r="AQ40" s="34"/>
      <c r="AR40" s="34"/>
      <c r="AS40" s="34"/>
      <c r="AT40" s="34"/>
      <c r="AU40" s="34"/>
      <c r="AV40" s="34"/>
      <c r="AW40" s="34"/>
      <c r="AX40" s="4"/>
    </row>
    <row r="41" spans="1:50" x14ac:dyDescent="0.3">
      <c r="A41" s="63"/>
      <c r="B41" s="64"/>
      <c r="C41" s="65"/>
      <c r="D41" s="69"/>
      <c r="E41" s="63"/>
      <c r="F41" s="65"/>
      <c r="G41" s="68" t="s">
        <v>79</v>
      </c>
      <c r="H41" s="73"/>
      <c r="I41" s="73"/>
      <c r="J41" s="73"/>
      <c r="K41" s="73"/>
      <c r="L41" s="73"/>
      <c r="M41" s="73"/>
      <c r="N41" s="73"/>
      <c r="O41" s="73"/>
      <c r="P41" s="73"/>
      <c r="Q41" s="73"/>
      <c r="R41" s="73">
        <f t="shared" si="14"/>
        <v>0</v>
      </c>
      <c r="S41" s="146" t="s">
        <v>467</v>
      </c>
      <c r="T41" s="146">
        <f>SUM(U26:X26)</f>
        <v>0</v>
      </c>
      <c r="U41" s="73"/>
      <c r="V41" s="73"/>
      <c r="W41" s="73"/>
      <c r="X41" s="73"/>
      <c r="Y41" s="73"/>
      <c r="Z41" s="73"/>
      <c r="AA41" s="70"/>
      <c r="AB41" s="71"/>
      <c r="AC41" s="72"/>
      <c r="AD41" s="73"/>
      <c r="AE41" s="69"/>
      <c r="AF41" s="69">
        <f t="shared" si="3"/>
        <v>0</v>
      </c>
      <c r="AG41" s="1"/>
      <c r="AH41" s="6"/>
      <c r="AI41" s="4"/>
      <c r="AJ41" s="77"/>
      <c r="AK41" s="78"/>
      <c r="AL41" s="77"/>
      <c r="AM41" s="78"/>
      <c r="AN41" s="14"/>
      <c r="AO41" s="14"/>
      <c r="AP41" s="4"/>
      <c r="AQ41" s="34"/>
      <c r="AR41" s="34"/>
      <c r="AS41" s="34"/>
      <c r="AT41" s="34"/>
      <c r="AU41" s="34"/>
      <c r="AV41" s="34"/>
      <c r="AW41" s="34"/>
      <c r="AX41" s="4"/>
    </row>
    <row r="42" spans="1:50" x14ac:dyDescent="0.3">
      <c r="A42" s="63"/>
      <c r="B42" s="64"/>
      <c r="C42" s="65"/>
      <c r="D42" s="69"/>
      <c r="E42" s="63"/>
      <c r="F42" s="65"/>
      <c r="G42" s="68" t="s">
        <v>79</v>
      </c>
      <c r="H42" s="73"/>
      <c r="I42" s="73"/>
      <c r="J42" s="73"/>
      <c r="K42" s="73"/>
      <c r="L42" s="73"/>
      <c r="M42" s="73"/>
      <c r="N42" s="73"/>
      <c r="O42" s="73"/>
      <c r="P42" s="73"/>
      <c r="Q42" s="73"/>
      <c r="R42" s="73">
        <f t="shared" si="14"/>
        <v>0</v>
      </c>
      <c r="S42" s="146" t="s">
        <v>468</v>
      </c>
      <c r="T42" s="146">
        <f>+T34</f>
        <v>0</v>
      </c>
      <c r="U42" s="73"/>
      <c r="V42" s="73"/>
      <c r="W42" s="73"/>
      <c r="X42" s="73"/>
      <c r="Y42" s="73"/>
      <c r="Z42" s="73"/>
      <c r="AA42" s="70"/>
      <c r="AB42" s="71"/>
      <c r="AC42" s="72"/>
      <c r="AD42" s="73"/>
      <c r="AE42" s="69"/>
      <c r="AF42" s="69">
        <f t="shared" si="3"/>
        <v>0</v>
      </c>
      <c r="AG42" s="1"/>
      <c r="AH42" s="6"/>
      <c r="AI42" s="4"/>
      <c r="AJ42" s="77"/>
      <c r="AK42" s="78"/>
      <c r="AL42" s="77"/>
      <c r="AM42" s="78"/>
      <c r="AN42" s="14"/>
      <c r="AO42" s="14"/>
      <c r="AP42" s="4"/>
      <c r="AQ42" s="34"/>
      <c r="AR42" s="34"/>
      <c r="AS42" s="34"/>
      <c r="AT42" s="34"/>
      <c r="AU42" s="34"/>
      <c r="AV42" s="34"/>
      <c r="AW42" s="34"/>
      <c r="AX42" s="4"/>
    </row>
    <row r="43" spans="1:50" x14ac:dyDescent="0.3">
      <c r="A43" s="63"/>
      <c r="B43" s="64"/>
      <c r="C43" s="65"/>
      <c r="D43" s="69"/>
      <c r="E43" s="63"/>
      <c r="F43" s="65"/>
      <c r="G43" s="68" t="s">
        <v>79</v>
      </c>
      <c r="H43" s="73"/>
      <c r="I43" s="73"/>
      <c r="J43" s="73"/>
      <c r="K43" s="73"/>
      <c r="L43" s="73"/>
      <c r="M43" s="73"/>
      <c r="N43" s="73"/>
      <c r="O43" s="73"/>
      <c r="P43" s="73"/>
      <c r="Q43" s="73"/>
      <c r="R43" s="73">
        <f t="shared" si="14"/>
        <v>0</v>
      </c>
      <c r="S43" s="146" t="s">
        <v>464</v>
      </c>
      <c r="T43" s="146">
        <f>T35</f>
        <v>266515.08</v>
      </c>
      <c r="U43" s="73"/>
      <c r="V43" s="73"/>
      <c r="W43" s="73"/>
      <c r="X43" s="73"/>
      <c r="Y43" s="73"/>
      <c r="Z43" s="73"/>
      <c r="AA43" s="70"/>
      <c r="AB43" s="71"/>
      <c r="AC43" s="72"/>
      <c r="AD43" s="73"/>
      <c r="AE43" s="69"/>
      <c r="AF43" s="69">
        <f t="shared" si="3"/>
        <v>0</v>
      </c>
      <c r="AG43" s="1"/>
      <c r="AH43" s="6"/>
      <c r="AI43" s="4"/>
      <c r="AJ43" s="77"/>
      <c r="AK43" s="78"/>
      <c r="AL43" s="77"/>
      <c r="AM43" s="78"/>
      <c r="AN43" s="14"/>
      <c r="AO43" s="14"/>
      <c r="AP43" s="4"/>
      <c r="AQ43" s="34"/>
      <c r="AR43" s="34"/>
      <c r="AS43" s="34"/>
      <c r="AT43" s="34"/>
      <c r="AU43" s="34"/>
      <c r="AV43" s="34"/>
      <c r="AW43" s="34"/>
      <c r="AX43" s="4"/>
    </row>
    <row r="44" spans="1:50" x14ac:dyDescent="0.3">
      <c r="A44" s="63"/>
      <c r="B44" s="65"/>
      <c r="C44" s="65"/>
      <c r="D44" s="69"/>
      <c r="E44" s="63"/>
      <c r="F44" s="65"/>
      <c r="G44" s="68" t="s">
        <v>79</v>
      </c>
      <c r="H44" s="73"/>
      <c r="I44" s="73"/>
      <c r="J44" s="73"/>
      <c r="K44" s="73"/>
      <c r="L44" s="73"/>
      <c r="M44" s="73"/>
      <c r="N44" s="73"/>
      <c r="O44" s="73"/>
      <c r="P44" s="73"/>
      <c r="Q44" s="73"/>
      <c r="R44" s="73">
        <f t="shared" si="14"/>
        <v>0</v>
      </c>
      <c r="S44" s="146" t="s">
        <v>469</v>
      </c>
      <c r="T44" s="146"/>
      <c r="U44" s="73"/>
      <c r="V44" s="73"/>
      <c r="W44" s="73"/>
      <c r="X44" s="73"/>
      <c r="Y44" s="73"/>
      <c r="Z44" s="73"/>
      <c r="AA44" s="70"/>
      <c r="AB44" s="71"/>
      <c r="AC44" s="72"/>
      <c r="AD44" s="73"/>
      <c r="AE44" s="69"/>
      <c r="AF44" s="69">
        <f t="shared" si="3"/>
        <v>0</v>
      </c>
      <c r="AG44" s="1"/>
      <c r="AH44" s="6"/>
      <c r="AI44" s="4"/>
      <c r="AJ44" s="77"/>
      <c r="AK44" s="78"/>
      <c r="AL44" s="77"/>
      <c r="AM44" s="78"/>
      <c r="AN44" s="14"/>
      <c r="AO44" s="14"/>
      <c r="AP44" s="4"/>
      <c r="AQ44" s="34"/>
      <c r="AR44" s="34"/>
      <c r="AS44" s="34"/>
      <c r="AT44" s="34"/>
      <c r="AU44" s="34"/>
      <c r="AV44" s="34"/>
      <c r="AW44" s="34"/>
      <c r="AX44" s="4"/>
    </row>
    <row r="45" spans="1:50" x14ac:dyDescent="0.3">
      <c r="A45" s="63"/>
      <c r="B45" s="65"/>
      <c r="C45" s="65"/>
      <c r="D45" s="69"/>
      <c r="E45" s="63"/>
      <c r="F45" s="65"/>
      <c r="G45" s="68" t="s">
        <v>79</v>
      </c>
      <c r="H45" s="73"/>
      <c r="I45" s="73"/>
      <c r="J45" s="73"/>
      <c r="K45" s="73"/>
      <c r="L45" s="73"/>
      <c r="M45" s="73"/>
      <c r="N45" s="73"/>
      <c r="O45" s="73"/>
      <c r="P45" s="73"/>
      <c r="Q45" s="73"/>
      <c r="R45" s="73">
        <f t="shared" si="14"/>
        <v>0</v>
      </c>
      <c r="S45" s="146" t="s">
        <v>465</v>
      </c>
      <c r="T45" s="146">
        <f>+T36</f>
        <v>0</v>
      </c>
      <c r="U45" s="73"/>
      <c r="V45" s="73"/>
      <c r="W45" s="73"/>
      <c r="X45" s="73"/>
      <c r="Y45" s="73"/>
      <c r="Z45" s="73"/>
      <c r="AA45" s="70"/>
      <c r="AB45" s="71"/>
      <c r="AC45" s="72"/>
      <c r="AD45" s="73"/>
      <c r="AE45" s="69"/>
      <c r="AF45" s="69">
        <f t="shared" si="3"/>
        <v>0</v>
      </c>
      <c r="AG45" s="1"/>
      <c r="AH45" s="6"/>
      <c r="AI45" s="4"/>
      <c r="AJ45" s="77"/>
      <c r="AK45" s="78"/>
      <c r="AL45" s="77"/>
      <c r="AM45" s="78"/>
      <c r="AN45" s="14"/>
      <c r="AO45" s="14"/>
      <c r="AP45" s="4"/>
      <c r="AQ45" s="34"/>
      <c r="AR45" s="34"/>
      <c r="AS45" s="34"/>
      <c r="AT45" s="34"/>
      <c r="AU45" s="34"/>
      <c r="AV45" s="34"/>
      <c r="AW45" s="34"/>
      <c r="AX45" s="4"/>
    </row>
    <row r="46" spans="1:50" x14ac:dyDescent="0.3">
      <c r="A46" s="63"/>
      <c r="B46" s="64"/>
      <c r="C46" s="65"/>
      <c r="D46" s="69"/>
      <c r="E46" s="63"/>
      <c r="F46" s="65"/>
      <c r="G46" s="68" t="s">
        <v>79</v>
      </c>
      <c r="H46" s="73"/>
      <c r="I46" s="73"/>
      <c r="J46" s="73"/>
      <c r="K46" s="73"/>
      <c r="L46" s="73"/>
      <c r="M46" s="73"/>
      <c r="N46" s="73"/>
      <c r="O46" s="73"/>
      <c r="P46" s="73"/>
      <c r="Q46" s="73"/>
      <c r="R46" s="73">
        <f t="shared" si="14"/>
        <v>0</v>
      </c>
      <c r="S46" s="146" t="s">
        <v>470</v>
      </c>
      <c r="T46" s="146">
        <f>SUM(T40:T45)</f>
        <v>2784342.23</v>
      </c>
      <c r="U46" s="73"/>
      <c r="V46" s="73"/>
      <c r="W46" s="73"/>
      <c r="X46" s="73"/>
      <c r="Y46" s="73"/>
      <c r="Z46" s="73"/>
      <c r="AA46" s="70"/>
      <c r="AB46" s="71"/>
      <c r="AC46" s="72"/>
      <c r="AD46" s="73"/>
      <c r="AE46" s="69"/>
      <c r="AF46" s="69">
        <f t="shared" si="3"/>
        <v>0</v>
      </c>
      <c r="AG46" s="1"/>
      <c r="AH46" s="6"/>
      <c r="AI46" s="4"/>
      <c r="AJ46" s="77"/>
      <c r="AK46" s="78"/>
      <c r="AL46" s="77"/>
      <c r="AM46" s="78"/>
      <c r="AN46" s="14"/>
      <c r="AO46" s="14"/>
      <c r="AP46" s="4"/>
      <c r="AQ46" s="34"/>
      <c r="AR46" s="34"/>
      <c r="AS46" s="34"/>
      <c r="AT46" s="34"/>
      <c r="AU46" s="34"/>
      <c r="AV46" s="34"/>
      <c r="AW46" s="34"/>
      <c r="AX46" s="4"/>
    </row>
    <row r="47" spans="1:50" x14ac:dyDescent="0.3">
      <c r="A47" s="63"/>
      <c r="B47" s="64"/>
      <c r="C47" s="65"/>
      <c r="D47" s="69"/>
      <c r="E47" s="63"/>
      <c r="F47" s="65"/>
      <c r="G47" s="68" t="s">
        <v>79</v>
      </c>
      <c r="H47" s="73"/>
      <c r="I47" s="73"/>
      <c r="J47" s="73"/>
      <c r="K47" s="73"/>
      <c r="L47" s="73"/>
      <c r="M47" s="73"/>
      <c r="N47" s="73"/>
      <c r="O47" s="73"/>
      <c r="P47" s="73"/>
      <c r="Q47" s="73"/>
      <c r="R47" s="73">
        <f t="shared" si="14"/>
        <v>0</v>
      </c>
      <c r="S47" s="146" t="s">
        <v>460</v>
      </c>
      <c r="T47" s="146">
        <v>2784342.23</v>
      </c>
      <c r="U47" s="73"/>
      <c r="V47" s="73"/>
      <c r="W47" s="73"/>
      <c r="X47" s="73"/>
      <c r="Y47" s="73"/>
      <c r="Z47" s="73"/>
      <c r="AA47" s="70"/>
      <c r="AB47" s="71"/>
      <c r="AC47" s="72"/>
      <c r="AD47" s="73"/>
      <c r="AE47" s="69"/>
      <c r="AF47" s="69">
        <f t="shared" si="3"/>
        <v>0</v>
      </c>
      <c r="AG47" s="1"/>
      <c r="AH47" s="6"/>
      <c r="AI47" s="4"/>
      <c r="AJ47" s="77"/>
      <c r="AK47" s="78"/>
      <c r="AL47" s="77"/>
      <c r="AM47" s="78"/>
      <c r="AN47" s="14"/>
      <c r="AO47" s="14"/>
      <c r="AP47" s="4"/>
      <c r="AQ47" s="34"/>
      <c r="AR47" s="34"/>
      <c r="AS47" s="34"/>
      <c r="AT47" s="34"/>
      <c r="AU47" s="34"/>
      <c r="AV47" s="34"/>
      <c r="AW47" s="34"/>
      <c r="AX47" s="4"/>
    </row>
  </sheetData>
  <mergeCells count="8">
    <mergeCell ref="AU7:AW7"/>
    <mergeCell ref="J8:K8"/>
    <mergeCell ref="AB8:AC8"/>
    <mergeCell ref="AJ9:AK9"/>
    <mergeCell ref="AL9:AM9"/>
    <mergeCell ref="AQ1:AR1"/>
    <mergeCell ref="AJ7:AN7"/>
    <mergeCell ref="AR7:AT7"/>
  </mergeCells>
  <conditionalFormatting sqref="D1:D7">
    <cfRule type="containsText" dxfId="53" priority="1" operator="containsText" text="SETUP iFUND">
      <formula>NOT(ISERROR(SEARCH(("SETUP iFUND"),(D1))))</formula>
    </cfRule>
    <cfRule type="containsText" dxfId="52" priority="2" operator="containsText" text="FOB">
      <formula>NOT(ISERROR(SEARCH(("FOB"),(D1))))</formula>
    </cfRule>
    <cfRule type="containsText" dxfId="51" priority="3" operator="containsText" text="2019 NYDD">
      <formula>NOT(ISERROR(SEARCH(("2019 NYDD"),(D1))))</formula>
    </cfRule>
    <cfRule type="containsText" dxfId="50" priority="4" operator="containsText" text="2019">
      <formula>NOT(ISERROR(SEARCH(("2019"),(D1))))</formula>
    </cfRule>
    <cfRule type="containsText" dxfId="49" priority="5" operator="containsText" text="SETUP CTNG">
      <formula>NOT(ISERROR(SEARCH(("SETUP CTNG"),(D1))))</formula>
    </cfRule>
    <cfRule type="containsText" dxfId="48" priority="6" operator="containsText" text="CEST UP">
      <formula>NOT(ISERROR(SEARCH(("CEST UP"),(D1))))</formula>
    </cfRule>
    <cfRule type="containsText" dxfId="47" priority="7" operator="containsText" text="CO">
      <formula>NOT(ISERROR(SEARCH(("CO"),(D1))))</formula>
    </cfRule>
    <cfRule type="containsText" dxfId="46" priority="8" operator="containsText" text="GIA">
      <formula>NOT(ISERROR(SEARCH(("GIA"),(D1))))</formula>
    </cfRule>
    <cfRule type="containsText" dxfId="45" priority="9" operator="containsText" text="SCIENCE CENTRUM">
      <formula>NOT(ISERROR(SEARCH(("SCIENCE CENTRUM"),(D1))))</formula>
    </cfRule>
    <cfRule type="containsText" dxfId="44" priority="10" operator="containsText" text="SETUP Non Refund">
      <formula>NOT(ISERROR(SEARCH(("SETUP Non Refund"),(D1))))</formula>
    </cfRule>
    <cfRule type="containsText" dxfId="43" priority="11" operator="containsText" text="SETUP PMB">
      <formula>NOT(ISERROR(SEARCH(("SETUP PMB"),(D1))))</formula>
    </cfRule>
    <cfRule type="containsText" dxfId="42" priority="12" operator="containsText" text="SETUP iFUND">
      <formula>NOT(ISERROR(SEARCH(("SETUP iFUND"),(D1))))</formula>
    </cfRule>
    <cfRule type="containsText" dxfId="41" priority="13" operator="containsText" text="SETUP 2.0 (GAA)">
      <formula>NOT(ISERROR(SEARCH(("SETUP 2.0 (GAA)"),(D1))))</formula>
    </cfRule>
    <cfRule type="containsText" dxfId="40" priority="14" operator="containsText" text="SETUP 2.0 P-3">
      <formula>NOT(ISERROR(SEARCH(("SETUP 2.0 P-3"),(D1))))</formula>
    </cfRule>
    <cfRule type="containsText" dxfId="39" priority="15" operator="containsText" text="SETUP 2.0 P-2">
      <formula>NOT(ISERROR(SEARCH(("SETUP 2.0 P-2"),(D1))))</formula>
    </cfRule>
    <cfRule type="containsText" dxfId="38" priority="16" operator="containsText" text="SETUP 2.0 P-1">
      <formula>NOT(ISERROR(SEARCH(("SETUP 2.0 P-1"),(D1))))</formula>
    </cfRule>
    <cfRule type="containsText" dxfId="37" priority="17" operator="containsText" text="ONELAB">
      <formula>NOT(ISERROR(SEARCH(("ONELAB"),(D1))))</formula>
    </cfRule>
    <cfRule type="containsText" dxfId="36" priority="18" operator="containsText" text="RML">
      <formula>NOT(ISERROR(SEARCH(("RML"),(D1))))</formula>
    </cfRule>
  </conditionalFormatting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D6419FD-E425-4291-8D26-F5E1D830EE1F}">
  <dimension ref="A1:AX97"/>
  <sheetViews>
    <sheetView workbookViewId="0">
      <selection sqref="A1:AX97"/>
    </sheetView>
  </sheetViews>
  <sheetFormatPr defaultRowHeight="14.4" x14ac:dyDescent="0.3"/>
  <sheetData>
    <row r="1" spans="1:50" x14ac:dyDescent="0.3">
      <c r="A1" s="1" t="s">
        <v>0</v>
      </c>
      <c r="B1" s="1"/>
      <c r="C1" s="1"/>
      <c r="D1" s="2"/>
      <c r="E1" s="3"/>
      <c r="F1" s="4" t="s">
        <v>1</v>
      </c>
      <c r="G1" s="5"/>
      <c r="H1" s="3"/>
      <c r="I1" s="3"/>
      <c r="J1" s="3"/>
      <c r="K1" s="3"/>
      <c r="L1" s="3"/>
      <c r="M1" s="3"/>
      <c r="N1" s="6"/>
      <c r="O1" s="3"/>
      <c r="P1" s="6"/>
      <c r="Q1" s="6"/>
      <c r="R1" s="6"/>
      <c r="S1" s="6"/>
      <c r="T1" s="6"/>
      <c r="U1" s="6"/>
      <c r="V1" s="6"/>
      <c r="W1" s="7"/>
      <c r="X1" s="6" t="s">
        <v>2</v>
      </c>
      <c r="Y1" s="6"/>
      <c r="Z1" s="6"/>
      <c r="AA1" s="8"/>
      <c r="AB1" s="9"/>
      <c r="AC1" s="10"/>
      <c r="AD1" s="11" t="s">
        <v>3</v>
      </c>
      <c r="AE1" s="6"/>
      <c r="AF1" s="6"/>
      <c r="AG1" s="1"/>
      <c r="AH1" s="12" t="s">
        <v>4</v>
      </c>
      <c r="AI1" s="13"/>
      <c r="AJ1" s="13"/>
      <c r="AK1" s="13"/>
      <c r="AL1" s="13"/>
      <c r="AM1" s="13"/>
      <c r="AN1" s="14" t="str">
        <f>+TEXT(AM1-AK1,"h:mm")</f>
        <v>0:00</v>
      </c>
      <c r="AO1" s="13"/>
      <c r="AP1" s="15" t="s">
        <v>5</v>
      </c>
      <c r="AQ1" s="190" t="s">
        <v>6</v>
      </c>
      <c r="AR1" s="191"/>
      <c r="AS1" s="4"/>
      <c r="AT1" s="4"/>
      <c r="AU1" s="4"/>
      <c r="AV1" s="4"/>
      <c r="AW1" s="4"/>
      <c r="AX1" s="4"/>
    </row>
    <row r="2" spans="1:50" x14ac:dyDescent="0.3">
      <c r="A2" s="1" t="s">
        <v>7</v>
      </c>
      <c r="B2" s="4"/>
      <c r="C2" s="4"/>
      <c r="D2" s="2"/>
      <c r="E2" s="3"/>
      <c r="F2" s="4" t="s">
        <v>1</v>
      </c>
      <c r="G2" s="5"/>
      <c r="H2" s="3"/>
      <c r="I2" s="3"/>
      <c r="J2" s="3"/>
      <c r="K2" s="3"/>
      <c r="L2" s="3"/>
      <c r="M2" s="3"/>
      <c r="N2" s="6"/>
      <c r="O2" s="3"/>
      <c r="P2" s="6"/>
      <c r="Q2" s="6"/>
      <c r="R2" s="6"/>
      <c r="S2" s="6"/>
      <c r="T2" s="6"/>
      <c r="U2" s="6"/>
      <c r="V2" s="6"/>
      <c r="W2" s="16"/>
      <c r="X2" s="6" t="s">
        <v>8</v>
      </c>
      <c r="Y2" s="6"/>
      <c r="Z2" s="6"/>
      <c r="AA2" s="8"/>
      <c r="AB2" s="9"/>
      <c r="AC2" s="10"/>
      <c r="AD2" s="17"/>
      <c r="AE2" s="6"/>
      <c r="AF2" s="6"/>
      <c r="AG2" s="18" t="s">
        <v>9</v>
      </c>
      <c r="AH2" s="19">
        <v>4.1666666666666699E-2</v>
      </c>
      <c r="AI2" s="4"/>
      <c r="AJ2" s="20">
        <v>44599</v>
      </c>
      <c r="AK2" s="14">
        <v>0.46875</v>
      </c>
      <c r="AL2" s="20">
        <v>44599</v>
      </c>
      <c r="AM2" s="14">
        <v>0.60416666666666696</v>
      </c>
      <c r="AN2" s="14" t="str">
        <f>+TEXT(AM2-AK2-$AH$2,"h:mm")</f>
        <v>2:15</v>
      </c>
      <c r="AO2" s="4"/>
      <c r="AP2" s="21" t="s">
        <v>10</v>
      </c>
      <c r="AQ2" s="22" t="s">
        <v>11</v>
      </c>
      <c r="AR2" s="23">
        <v>0.33333333333333298</v>
      </c>
      <c r="AS2" s="4"/>
      <c r="AT2" s="4"/>
      <c r="AU2" s="4"/>
      <c r="AV2" s="4"/>
      <c r="AW2" s="4"/>
      <c r="AX2" s="4"/>
    </row>
    <row r="3" spans="1:50" x14ac:dyDescent="0.3">
      <c r="A3" s="1" t="s">
        <v>12</v>
      </c>
      <c r="B3" s="24"/>
      <c r="C3" s="4"/>
      <c r="D3" s="2"/>
      <c r="E3" s="3"/>
      <c r="F3" s="4" t="s">
        <v>1</v>
      </c>
      <c r="G3" s="5"/>
      <c r="H3" s="3"/>
      <c r="I3" s="3"/>
      <c r="J3" s="3"/>
      <c r="K3" s="3"/>
      <c r="L3" s="3"/>
      <c r="M3" s="3"/>
      <c r="N3" s="6"/>
      <c r="O3" s="3"/>
      <c r="P3" s="6"/>
      <c r="Q3" s="6"/>
      <c r="R3" s="6"/>
      <c r="S3" s="6"/>
      <c r="T3" s="6"/>
      <c r="U3" s="6"/>
      <c r="V3" s="6"/>
      <c r="W3" s="25"/>
      <c r="X3" s="6" t="s">
        <v>13</v>
      </c>
      <c r="Y3" s="6"/>
      <c r="Z3" s="6"/>
      <c r="AA3" s="8"/>
      <c r="AB3" s="9"/>
      <c r="AC3" s="10"/>
      <c r="AD3" s="17"/>
      <c r="AE3" s="6"/>
      <c r="AF3" s="6"/>
      <c r="AG3" s="26" t="s">
        <v>14</v>
      </c>
      <c r="AH3" s="27"/>
      <c r="AI3" s="4"/>
      <c r="AJ3" s="20">
        <v>44602</v>
      </c>
      <c r="AK3" s="14">
        <v>0.64236111111111105</v>
      </c>
      <c r="AL3" s="20">
        <v>44603</v>
      </c>
      <c r="AM3" s="14">
        <v>0.40625</v>
      </c>
      <c r="AN3" s="14">
        <f>+TEXT($AR$3-AK3,"h:mm")+TEXT(AM3-$AR$2,"h:mm")</f>
        <v>0.1388888888888889</v>
      </c>
      <c r="AO3" s="4"/>
      <c r="AP3" s="21" t="s">
        <v>15</v>
      </c>
      <c r="AQ3" s="22" t="s">
        <v>16</v>
      </c>
      <c r="AR3" s="23">
        <v>0.70833333333333304</v>
      </c>
      <c r="AS3" s="4"/>
      <c r="AT3" s="4"/>
      <c r="AU3" s="4"/>
      <c r="AV3" s="4"/>
      <c r="AW3" s="4"/>
      <c r="AX3" s="4"/>
    </row>
    <row r="4" spans="1:50" ht="15" thickBot="1" x14ac:dyDescent="0.35">
      <c r="A4" s="1"/>
      <c r="B4" s="24"/>
      <c r="C4" s="4"/>
      <c r="D4" s="2"/>
      <c r="E4" s="3"/>
      <c r="F4" s="4"/>
      <c r="G4" s="5"/>
      <c r="H4" s="3"/>
      <c r="I4" s="3"/>
      <c r="J4" s="3"/>
      <c r="K4" s="3"/>
      <c r="L4" s="3"/>
      <c r="M4" s="3"/>
      <c r="N4" s="6"/>
      <c r="O4" s="3"/>
      <c r="P4" s="6"/>
      <c r="Q4" s="6"/>
      <c r="R4" s="6"/>
      <c r="S4" s="6"/>
      <c r="T4" s="6"/>
      <c r="U4" s="6"/>
      <c r="V4" s="6"/>
      <c r="W4" s="28"/>
      <c r="X4" s="6" t="s">
        <v>17</v>
      </c>
      <c r="Y4" s="6"/>
      <c r="Z4" s="6"/>
      <c r="AA4" s="8"/>
      <c r="AB4" s="9"/>
      <c r="AC4" s="10"/>
      <c r="AD4" s="17"/>
      <c r="AE4" s="6"/>
      <c r="AF4" s="6"/>
      <c r="AG4" s="1"/>
      <c r="AH4" s="29"/>
      <c r="AI4" s="30"/>
      <c r="AJ4" s="31"/>
      <c r="AK4" s="32"/>
      <c r="AL4" s="31"/>
      <c r="AM4" s="32"/>
      <c r="AN4" s="32"/>
      <c r="AO4" s="30" t="str">
        <f>TEXT(AN4/12,"hh:mm:ss")</f>
        <v>00:00:00</v>
      </c>
      <c r="AP4" s="33" t="s">
        <v>18</v>
      </c>
      <c r="AQ4" s="34"/>
      <c r="AR4" s="14"/>
      <c r="AS4" s="4"/>
      <c r="AT4" s="4"/>
      <c r="AU4" s="4"/>
      <c r="AV4" s="4"/>
      <c r="AW4" s="4"/>
      <c r="AX4" s="4"/>
    </row>
    <row r="5" spans="1:50" x14ac:dyDescent="0.3">
      <c r="A5" s="35"/>
      <c r="B5" s="24"/>
      <c r="C5" s="4"/>
      <c r="D5" s="2"/>
      <c r="E5" s="3"/>
      <c r="F5" s="4"/>
      <c r="G5" s="5"/>
      <c r="H5" s="3"/>
      <c r="I5" s="3"/>
      <c r="J5" s="3"/>
      <c r="K5" s="3"/>
      <c r="L5" s="3"/>
      <c r="M5" s="3"/>
      <c r="N5" s="6"/>
      <c r="O5" s="3"/>
      <c r="P5" s="6"/>
      <c r="Q5" s="6"/>
      <c r="R5" s="6"/>
      <c r="S5" s="6"/>
      <c r="T5" s="6"/>
      <c r="U5" s="6"/>
      <c r="V5" s="6"/>
      <c r="W5" s="36"/>
      <c r="X5" s="6" t="s">
        <v>19</v>
      </c>
      <c r="Y5" s="6"/>
      <c r="Z5" s="6"/>
      <c r="AA5" s="8"/>
      <c r="AB5" s="9"/>
      <c r="AC5" s="10"/>
      <c r="AD5" s="17"/>
      <c r="AE5" s="6"/>
      <c r="AF5" s="6"/>
      <c r="AG5" s="1"/>
      <c r="AH5" s="34"/>
      <c r="AI5" s="4"/>
      <c r="AJ5" s="4"/>
      <c r="AK5" s="4"/>
      <c r="AL5" s="4"/>
      <c r="AM5" s="4"/>
      <c r="AN5" s="4"/>
      <c r="AO5" s="4"/>
      <c r="AP5" s="4"/>
      <c r="AQ5" s="34"/>
      <c r="AR5" s="4"/>
      <c r="AS5" s="4"/>
      <c r="AT5" s="4"/>
      <c r="AU5" s="4"/>
      <c r="AV5" s="4"/>
      <c r="AW5" s="4"/>
      <c r="AX5" s="4"/>
    </row>
    <row r="6" spans="1:50" ht="15" thickBot="1" x14ac:dyDescent="0.35">
      <c r="A6" s="35"/>
      <c r="B6" s="24"/>
      <c r="C6" s="4"/>
      <c r="D6" s="2"/>
      <c r="E6" s="3"/>
      <c r="F6" s="4"/>
      <c r="G6" s="5"/>
      <c r="H6" s="3"/>
      <c r="I6" s="3"/>
      <c r="J6" s="3"/>
      <c r="K6" s="3"/>
      <c r="L6" s="3"/>
      <c r="M6" s="3"/>
      <c r="N6" s="6"/>
      <c r="O6" s="3"/>
      <c r="P6" s="6"/>
      <c r="Q6" s="6"/>
      <c r="R6" s="6"/>
      <c r="S6" s="6"/>
      <c r="T6" s="6"/>
      <c r="U6" s="6"/>
      <c r="V6" s="6"/>
      <c r="W6" s="37"/>
      <c r="X6" s="6" t="s">
        <v>20</v>
      </c>
      <c r="Y6" s="6"/>
      <c r="Z6" s="6"/>
      <c r="AA6" s="8"/>
      <c r="AB6" s="9"/>
      <c r="AC6" s="10"/>
      <c r="AD6" s="17"/>
      <c r="AE6" s="6"/>
      <c r="AF6" s="6"/>
      <c r="AG6" s="1"/>
      <c r="AH6" s="34"/>
      <c r="AI6" s="4"/>
      <c r="AJ6" s="4"/>
      <c r="AK6" s="4"/>
      <c r="AL6" s="4"/>
      <c r="AM6" s="4"/>
      <c r="AN6" s="4"/>
      <c r="AO6" s="4"/>
      <c r="AP6" s="4"/>
      <c r="AQ6" s="34"/>
      <c r="AR6" s="4"/>
      <c r="AS6" s="4"/>
      <c r="AT6" s="4"/>
      <c r="AU6" s="4"/>
      <c r="AV6" s="4"/>
      <c r="AW6" s="4"/>
      <c r="AX6" s="4"/>
    </row>
    <row r="7" spans="1:50" ht="15" thickBot="1" x14ac:dyDescent="0.35">
      <c r="A7" s="1"/>
      <c r="B7" s="24"/>
      <c r="C7" s="4"/>
      <c r="D7" s="2"/>
      <c r="E7" s="3"/>
      <c r="F7" s="4"/>
      <c r="G7" s="5"/>
      <c r="H7" s="3"/>
      <c r="I7" s="3"/>
      <c r="J7" s="3"/>
      <c r="K7" s="3"/>
      <c r="L7" s="3"/>
      <c r="M7" s="3"/>
      <c r="N7" s="6"/>
      <c r="O7" s="3"/>
      <c r="P7" s="6"/>
      <c r="Q7" s="6"/>
      <c r="R7" s="6"/>
      <c r="S7" s="6"/>
      <c r="T7" s="6"/>
      <c r="U7" s="6"/>
      <c r="V7" s="6"/>
      <c r="W7" s="6"/>
      <c r="X7" s="6"/>
      <c r="Y7" s="6"/>
      <c r="Z7" s="6"/>
      <c r="AA7" s="8"/>
      <c r="AB7" s="9"/>
      <c r="AC7" s="10"/>
      <c r="AD7" s="17"/>
      <c r="AE7" s="38" t="s">
        <v>21</v>
      </c>
      <c r="AF7" s="6"/>
      <c r="AG7" s="1"/>
      <c r="AH7" s="34"/>
      <c r="AI7" s="4"/>
      <c r="AJ7" s="192" t="s">
        <v>22</v>
      </c>
      <c r="AK7" s="193"/>
      <c r="AL7" s="193"/>
      <c r="AM7" s="193"/>
      <c r="AN7" s="194"/>
      <c r="AO7" s="39" t="s">
        <v>23</v>
      </c>
      <c r="AP7" s="4"/>
      <c r="AQ7" s="40" t="s">
        <v>24</v>
      </c>
      <c r="AR7" s="195" t="s">
        <v>25</v>
      </c>
      <c r="AS7" s="196"/>
      <c r="AT7" s="191"/>
      <c r="AU7" s="197" t="s">
        <v>26</v>
      </c>
      <c r="AV7" s="196"/>
      <c r="AW7" s="191"/>
      <c r="AX7" s="4"/>
    </row>
    <row r="8" spans="1:50" ht="79.8" x14ac:dyDescent="0.3">
      <c r="A8" s="43" t="s">
        <v>27</v>
      </c>
      <c r="B8" s="24"/>
      <c r="C8" s="43" t="s">
        <v>28</v>
      </c>
      <c r="D8" s="43" t="s">
        <v>29</v>
      </c>
      <c r="E8" s="38" t="s">
        <v>30</v>
      </c>
      <c r="F8" s="43" t="s">
        <v>31</v>
      </c>
      <c r="G8" s="44"/>
      <c r="H8" s="38"/>
      <c r="I8" s="38"/>
      <c r="J8" s="198" t="s">
        <v>32</v>
      </c>
      <c r="K8" s="199"/>
      <c r="M8" s="38"/>
      <c r="N8" s="38" t="s">
        <v>33</v>
      </c>
      <c r="O8" s="38"/>
      <c r="P8" s="45" t="s">
        <v>34</v>
      </c>
      <c r="Q8" s="38" t="s">
        <v>35</v>
      </c>
      <c r="R8" s="38" t="s">
        <v>36</v>
      </c>
      <c r="S8" s="45" t="s">
        <v>37</v>
      </c>
      <c r="T8" s="46" t="s">
        <v>38</v>
      </c>
      <c r="U8" s="38" t="s">
        <v>39</v>
      </c>
      <c r="V8" s="38" t="s">
        <v>40</v>
      </c>
      <c r="W8" s="38" t="s">
        <v>39</v>
      </c>
      <c r="X8" s="38" t="s">
        <v>40</v>
      </c>
      <c r="Y8" s="38" t="s">
        <v>41</v>
      </c>
      <c r="Z8" s="38" t="s">
        <v>42</v>
      </c>
      <c r="AA8" s="47" t="s">
        <v>43</v>
      </c>
      <c r="AB8" s="200" t="s">
        <v>44</v>
      </c>
      <c r="AC8" s="199"/>
      <c r="AD8" s="48" t="s">
        <v>45</v>
      </c>
      <c r="AE8" s="38" t="s">
        <v>46</v>
      </c>
      <c r="AF8" s="38" t="s">
        <v>47</v>
      </c>
      <c r="AG8" s="35" t="s">
        <v>48</v>
      </c>
      <c r="AH8" s="43" t="s">
        <v>49</v>
      </c>
      <c r="AI8" s="4"/>
      <c r="AJ8" s="49" t="s">
        <v>43</v>
      </c>
      <c r="AK8" s="50" t="s">
        <v>50</v>
      </c>
      <c r="AL8" s="50" t="s">
        <v>43</v>
      </c>
      <c r="AM8" s="50" t="s">
        <v>51</v>
      </c>
      <c r="AN8" s="51" t="s">
        <v>52</v>
      </c>
      <c r="AO8" s="52" t="s">
        <v>53</v>
      </c>
      <c r="AP8" s="53" t="s">
        <v>54</v>
      </c>
      <c r="AQ8" s="40" t="s">
        <v>55</v>
      </c>
      <c r="AR8" s="41" t="s">
        <v>56</v>
      </c>
      <c r="AS8" s="54" t="s">
        <v>57</v>
      </c>
      <c r="AT8" s="55" t="s">
        <v>58</v>
      </c>
      <c r="AU8" s="42" t="s">
        <v>56</v>
      </c>
      <c r="AV8" s="54" t="s">
        <v>57</v>
      </c>
      <c r="AW8" s="55" t="s">
        <v>58</v>
      </c>
      <c r="AX8" s="4"/>
    </row>
    <row r="9" spans="1:50" ht="15" thickBot="1" x14ac:dyDescent="0.35">
      <c r="A9" s="1"/>
      <c r="B9" s="24"/>
      <c r="C9" s="4"/>
      <c r="D9" s="56"/>
      <c r="E9" s="34"/>
      <c r="F9" s="4"/>
      <c r="G9" s="5" t="s">
        <v>59</v>
      </c>
      <c r="H9" s="3" t="s">
        <v>60</v>
      </c>
      <c r="I9" s="3" t="s">
        <v>61</v>
      </c>
      <c r="J9" s="3" t="s">
        <v>62</v>
      </c>
      <c r="K9" s="3" t="s">
        <v>63</v>
      </c>
      <c r="L9" s="3" t="s">
        <v>64</v>
      </c>
      <c r="M9" s="3" t="s">
        <v>65</v>
      </c>
      <c r="N9" s="3" t="s">
        <v>66</v>
      </c>
      <c r="O9" s="3" t="s">
        <v>67</v>
      </c>
      <c r="P9" s="57" t="s">
        <v>68</v>
      </c>
      <c r="Q9" s="6"/>
      <c r="R9" s="6"/>
      <c r="S9" s="6"/>
      <c r="T9" s="58"/>
      <c r="U9" s="3" t="s">
        <v>69</v>
      </c>
      <c r="V9" s="3" t="s">
        <v>69</v>
      </c>
      <c r="W9" s="3" t="s">
        <v>70</v>
      </c>
      <c r="X9" s="3" t="s">
        <v>70</v>
      </c>
      <c r="Y9" s="6"/>
      <c r="Z9" s="6"/>
      <c r="AA9" s="8"/>
      <c r="AB9" s="9"/>
      <c r="AC9" s="10"/>
      <c r="AD9" s="17"/>
      <c r="AE9" s="6"/>
      <c r="AF9" s="4"/>
      <c r="AG9" s="1"/>
      <c r="AH9" s="4"/>
      <c r="AI9" s="4"/>
      <c r="AJ9" s="187" t="s">
        <v>71</v>
      </c>
      <c r="AK9" s="188"/>
      <c r="AL9" s="189" t="s">
        <v>72</v>
      </c>
      <c r="AM9" s="188"/>
      <c r="AN9" s="59" t="s">
        <v>73</v>
      </c>
      <c r="AO9" s="60" t="s">
        <v>73</v>
      </c>
      <c r="AP9" s="4"/>
      <c r="AQ9" s="61" t="s">
        <v>74</v>
      </c>
      <c r="AR9" s="62"/>
      <c r="AS9" s="4"/>
      <c r="AT9" s="4"/>
      <c r="AU9" s="4"/>
      <c r="AV9" s="4"/>
      <c r="AW9" s="4"/>
      <c r="AX9" s="4"/>
    </row>
    <row r="10" spans="1:50" x14ac:dyDescent="0.3">
      <c r="A10" s="63"/>
      <c r="B10" s="64"/>
      <c r="C10" s="65"/>
      <c r="D10" s="66"/>
      <c r="E10" s="67"/>
      <c r="F10" s="65"/>
      <c r="G10" s="68"/>
      <c r="H10" s="69"/>
      <c r="I10" s="69"/>
      <c r="J10" s="69"/>
      <c r="K10" s="69"/>
      <c r="L10" s="69"/>
      <c r="M10" s="69"/>
      <c r="N10" s="69"/>
      <c r="O10" s="69"/>
      <c r="P10" s="69"/>
      <c r="Q10" s="69"/>
      <c r="R10" s="69"/>
      <c r="S10" s="69"/>
      <c r="T10" s="69"/>
      <c r="U10" s="69"/>
      <c r="V10" s="69"/>
      <c r="W10" s="69"/>
      <c r="X10" s="69"/>
      <c r="Y10" s="69"/>
      <c r="Z10" s="69"/>
      <c r="AA10" s="70"/>
      <c r="AB10" s="71"/>
      <c r="AC10" s="72"/>
      <c r="AD10" s="73"/>
      <c r="AE10" s="69"/>
      <c r="AF10" s="69"/>
      <c r="AG10" s="1"/>
      <c r="AH10" s="4"/>
      <c r="AI10" s="4"/>
      <c r="AJ10" s="4"/>
      <c r="AK10" s="4"/>
      <c r="AL10" s="4"/>
      <c r="AM10" s="4"/>
      <c r="AN10" s="4"/>
      <c r="AO10" s="4"/>
      <c r="AP10" s="4"/>
      <c r="AQ10" s="34"/>
      <c r="AR10" s="4"/>
      <c r="AS10" s="4"/>
      <c r="AT10" s="4"/>
      <c r="AU10" s="4"/>
      <c r="AV10" s="4"/>
      <c r="AW10" s="4"/>
      <c r="AX10" s="4"/>
    </row>
    <row r="11" spans="1:50" x14ac:dyDescent="0.3">
      <c r="A11" s="63"/>
      <c r="B11" s="64"/>
      <c r="C11" s="74" t="s">
        <v>75</v>
      </c>
      <c r="D11" s="66" t="s">
        <v>76</v>
      </c>
      <c r="E11" s="67"/>
      <c r="F11" s="65"/>
      <c r="G11" s="68"/>
      <c r="H11" s="69"/>
      <c r="I11" s="69"/>
      <c r="J11" s="69"/>
      <c r="K11" s="69"/>
      <c r="L11" s="69"/>
      <c r="M11" s="69"/>
      <c r="N11" s="69"/>
      <c r="O11" s="69"/>
      <c r="P11" s="69"/>
      <c r="Q11" s="69"/>
      <c r="R11" s="69"/>
      <c r="S11" s="69"/>
      <c r="T11" s="69"/>
      <c r="U11" s="69"/>
      <c r="V11" s="69"/>
      <c r="W11" s="69"/>
      <c r="X11" s="69"/>
      <c r="Y11" s="69"/>
      <c r="Z11" s="69"/>
      <c r="AA11" s="70"/>
      <c r="AB11" s="71"/>
      <c r="AC11" s="72"/>
      <c r="AD11" s="73"/>
      <c r="AE11" s="69">
        <f>T11-N11</f>
        <v>0</v>
      </c>
      <c r="AF11" s="69"/>
      <c r="AG11" s="1"/>
      <c r="AH11" s="4"/>
      <c r="AI11" s="4"/>
      <c r="AJ11" s="4"/>
      <c r="AK11" s="4"/>
      <c r="AL11" s="4"/>
      <c r="AM11" s="4"/>
      <c r="AN11" s="4"/>
      <c r="AO11" s="4"/>
      <c r="AP11" s="4"/>
      <c r="AQ11" s="34"/>
      <c r="AR11" s="4"/>
      <c r="AS11" s="4"/>
      <c r="AT11" s="4"/>
      <c r="AU11" s="4"/>
      <c r="AV11" s="4"/>
      <c r="AW11" s="4"/>
      <c r="AX11" s="4"/>
    </row>
    <row r="12" spans="1:50" x14ac:dyDescent="0.3">
      <c r="A12" s="63"/>
      <c r="B12" s="64"/>
      <c r="C12" s="65"/>
      <c r="D12" s="66"/>
      <c r="E12" s="67"/>
      <c r="F12" s="65"/>
      <c r="G12" s="68"/>
      <c r="H12" s="69"/>
      <c r="I12" s="69"/>
      <c r="J12" s="69"/>
      <c r="K12" s="69"/>
      <c r="L12" s="69"/>
      <c r="M12" s="69"/>
      <c r="N12" s="69"/>
      <c r="O12" s="69"/>
      <c r="P12" s="69"/>
      <c r="Q12" s="69"/>
      <c r="R12" s="69"/>
      <c r="S12" s="69"/>
      <c r="T12" s="69"/>
      <c r="U12" s="69"/>
      <c r="V12" s="69"/>
      <c r="W12" s="69"/>
      <c r="X12" s="69"/>
      <c r="Y12" s="69"/>
      <c r="Z12" s="69"/>
      <c r="AA12" s="70"/>
      <c r="AB12" s="71"/>
      <c r="AC12" s="72"/>
      <c r="AD12" s="73"/>
      <c r="AE12" s="69"/>
      <c r="AF12" s="69"/>
      <c r="AG12" s="1"/>
      <c r="AH12" s="4"/>
      <c r="AI12" s="4"/>
      <c r="AJ12" s="4"/>
      <c r="AK12" s="4"/>
      <c r="AL12" s="4"/>
      <c r="AM12" s="4"/>
      <c r="AN12" s="4"/>
      <c r="AO12" s="4"/>
      <c r="AP12" s="4"/>
      <c r="AQ12" s="34"/>
      <c r="AR12" s="4"/>
      <c r="AS12" s="4"/>
      <c r="AT12" s="4"/>
      <c r="AU12" s="4"/>
      <c r="AV12" s="4"/>
      <c r="AW12" s="4"/>
      <c r="AX12" s="4"/>
    </row>
    <row r="13" spans="1:50" x14ac:dyDescent="0.3">
      <c r="A13" s="63"/>
      <c r="B13" s="64"/>
      <c r="C13" s="65"/>
      <c r="D13" s="66"/>
      <c r="E13" s="67"/>
      <c r="F13" s="65"/>
      <c r="G13" s="68"/>
      <c r="H13" s="69"/>
      <c r="I13" s="69"/>
      <c r="J13" s="69"/>
      <c r="K13" s="69"/>
      <c r="L13" s="69"/>
      <c r="M13" s="73"/>
      <c r="N13" s="69"/>
      <c r="O13" s="69"/>
      <c r="P13" s="69"/>
      <c r="Q13" s="69"/>
      <c r="R13" s="69"/>
      <c r="S13" s="69"/>
      <c r="T13" s="69"/>
      <c r="U13" s="69"/>
      <c r="V13" s="69"/>
      <c r="W13" s="69"/>
      <c r="X13" s="69"/>
      <c r="Y13" s="69"/>
      <c r="Z13" s="69"/>
      <c r="AA13" s="70"/>
      <c r="AB13" s="71"/>
      <c r="AC13" s="72"/>
      <c r="AD13" s="73"/>
      <c r="AE13" s="69"/>
      <c r="AF13" s="69">
        <f t="shared" ref="AF13:AF76" si="0">AF12+AD13-AE13</f>
        <v>0</v>
      </c>
      <c r="AG13" s="1"/>
      <c r="AH13" s="4"/>
      <c r="AI13" s="4"/>
      <c r="AJ13" s="4"/>
      <c r="AK13" s="4"/>
      <c r="AL13" s="4"/>
      <c r="AM13" s="4"/>
      <c r="AN13" s="4"/>
      <c r="AO13" s="4"/>
      <c r="AP13" s="4"/>
      <c r="AQ13" s="34"/>
      <c r="AR13" s="34"/>
      <c r="AS13" s="34"/>
      <c r="AT13" s="34"/>
      <c r="AU13" s="34"/>
      <c r="AV13" s="34"/>
      <c r="AW13" s="34"/>
      <c r="AX13" s="4"/>
    </row>
    <row r="14" spans="1:50" x14ac:dyDescent="0.3">
      <c r="A14" s="75" t="s">
        <v>80</v>
      </c>
      <c r="B14" s="64" t="s">
        <v>81</v>
      </c>
      <c r="C14" s="65" t="s">
        <v>82</v>
      </c>
      <c r="D14" s="69" t="s">
        <v>83</v>
      </c>
      <c r="E14" s="63" t="s">
        <v>84</v>
      </c>
      <c r="F14" s="65" t="s">
        <v>85</v>
      </c>
      <c r="G14" s="68" t="s">
        <v>79</v>
      </c>
      <c r="H14" s="69"/>
      <c r="I14" s="69"/>
      <c r="J14" s="69">
        <v>3111.58</v>
      </c>
      <c r="K14" s="69"/>
      <c r="L14" s="69"/>
      <c r="M14" s="73">
        <v>0</v>
      </c>
      <c r="N14" s="69">
        <v>3111.58</v>
      </c>
      <c r="O14" s="69"/>
      <c r="P14" s="69"/>
      <c r="Q14" s="69"/>
      <c r="R14" s="69">
        <v>3111.58</v>
      </c>
      <c r="S14" s="69"/>
      <c r="T14" s="69">
        <v>117171.93</v>
      </c>
      <c r="U14" s="69"/>
      <c r="V14" s="69"/>
      <c r="W14" s="69"/>
      <c r="X14" s="69"/>
      <c r="Y14" s="69">
        <v>117171.93</v>
      </c>
      <c r="Z14" s="69">
        <v>114060.35</v>
      </c>
      <c r="AA14" s="70">
        <v>46031</v>
      </c>
      <c r="AB14" s="76" t="s">
        <v>80</v>
      </c>
      <c r="AC14" s="72" t="s">
        <v>86</v>
      </c>
      <c r="AD14" s="73"/>
      <c r="AE14" s="69">
        <v>114060.34999999999</v>
      </c>
      <c r="AF14" s="69">
        <f t="shared" si="0"/>
        <v>-114060.34999999999</v>
      </c>
      <c r="AG14" s="1">
        <v>50204020</v>
      </c>
      <c r="AH14" s="6"/>
      <c r="AI14" s="4"/>
      <c r="AJ14" s="77">
        <v>46031</v>
      </c>
      <c r="AK14" s="78">
        <v>0.45833333333333331</v>
      </c>
      <c r="AL14" s="77">
        <v>46031</v>
      </c>
      <c r="AM14" s="78">
        <v>0.66319444444444442</v>
      </c>
      <c r="AN14" s="14" t="s">
        <v>471</v>
      </c>
      <c r="AO14" s="14">
        <v>2.0399305555555556E-2</v>
      </c>
      <c r="AP14" s="4"/>
      <c r="AQ14" s="34" t="s">
        <v>87</v>
      </c>
      <c r="AR14" s="34"/>
      <c r="AS14" s="69">
        <v>114060.35</v>
      </c>
      <c r="AT14" s="34"/>
      <c r="AU14" s="34"/>
      <c r="AV14" s="34"/>
      <c r="AW14" s="34"/>
      <c r="AX14" s="4"/>
    </row>
    <row r="15" spans="1:50" x14ac:dyDescent="0.3">
      <c r="A15" s="75" t="s">
        <v>80</v>
      </c>
      <c r="B15" s="64" t="s">
        <v>88</v>
      </c>
      <c r="C15" s="65" t="s">
        <v>82</v>
      </c>
      <c r="D15" s="69" t="s">
        <v>83</v>
      </c>
      <c r="E15" s="63" t="s">
        <v>89</v>
      </c>
      <c r="F15" s="65" t="s">
        <v>90</v>
      </c>
      <c r="G15" s="68" t="s">
        <v>79</v>
      </c>
      <c r="H15" s="69"/>
      <c r="I15" s="69"/>
      <c r="J15" s="69">
        <v>3.97</v>
      </c>
      <c r="K15" s="69"/>
      <c r="L15" s="69"/>
      <c r="M15" s="73">
        <v>0</v>
      </c>
      <c r="N15" s="69">
        <v>3.97</v>
      </c>
      <c r="O15" s="69"/>
      <c r="P15" s="69"/>
      <c r="Q15" s="69"/>
      <c r="R15" s="69">
        <v>3.97</v>
      </c>
      <c r="S15" s="69"/>
      <c r="T15" s="69">
        <v>89.43</v>
      </c>
      <c r="U15" s="69"/>
      <c r="V15" s="69"/>
      <c r="W15" s="69"/>
      <c r="X15" s="69"/>
      <c r="Y15" s="69">
        <v>89.43</v>
      </c>
      <c r="Z15" s="69">
        <v>85.46</v>
      </c>
      <c r="AA15" s="70">
        <v>46031</v>
      </c>
      <c r="AB15" s="76" t="s">
        <v>80</v>
      </c>
      <c r="AC15" s="72" t="s">
        <v>91</v>
      </c>
      <c r="AD15" s="73"/>
      <c r="AE15" s="69">
        <v>85.460000000000008</v>
      </c>
      <c r="AF15" s="69">
        <f t="shared" si="0"/>
        <v>-114145.81</v>
      </c>
      <c r="AG15" s="1">
        <v>50204020</v>
      </c>
      <c r="AH15" s="6"/>
      <c r="AI15" s="4"/>
      <c r="AJ15" s="77">
        <v>46031</v>
      </c>
      <c r="AK15" s="78">
        <v>0.45833333333333331</v>
      </c>
      <c r="AL15" s="77">
        <v>46031</v>
      </c>
      <c r="AM15" s="78">
        <v>0.66319444444444442</v>
      </c>
      <c r="AN15" s="14" t="s">
        <v>471</v>
      </c>
      <c r="AO15" s="14">
        <v>2.0399305555555556E-2</v>
      </c>
      <c r="AP15" s="4"/>
      <c r="AQ15" s="34" t="s">
        <v>87</v>
      </c>
      <c r="AR15" s="34"/>
      <c r="AS15" s="69">
        <v>85.46</v>
      </c>
      <c r="AT15" s="34"/>
      <c r="AU15" s="34"/>
      <c r="AV15" s="34"/>
      <c r="AW15" s="34"/>
      <c r="AX15" s="4"/>
    </row>
    <row r="16" spans="1:50" x14ac:dyDescent="0.3">
      <c r="A16" s="75" t="s">
        <v>80</v>
      </c>
      <c r="B16" s="65" t="s">
        <v>97</v>
      </c>
      <c r="C16" s="65" t="s">
        <v>98</v>
      </c>
      <c r="D16" s="69" t="s">
        <v>83</v>
      </c>
      <c r="E16" s="63" t="s">
        <v>99</v>
      </c>
      <c r="F16" s="65" t="s">
        <v>100</v>
      </c>
      <c r="G16" s="68" t="s">
        <v>79</v>
      </c>
      <c r="H16" s="73"/>
      <c r="I16" s="73"/>
      <c r="J16" s="73">
        <v>228.21</v>
      </c>
      <c r="K16" s="73"/>
      <c r="L16" s="73"/>
      <c r="M16" s="73">
        <v>0</v>
      </c>
      <c r="N16" s="69">
        <v>228.21</v>
      </c>
      <c r="O16" s="69"/>
      <c r="P16" s="69"/>
      <c r="Q16" s="69"/>
      <c r="R16" s="69">
        <v>228.21</v>
      </c>
      <c r="S16" s="73"/>
      <c r="T16" s="73">
        <v>5945.19</v>
      </c>
      <c r="U16" s="73"/>
      <c r="V16" s="73"/>
      <c r="W16" s="73"/>
      <c r="X16" s="73"/>
      <c r="Y16" s="73">
        <v>5945.19</v>
      </c>
      <c r="Z16" s="73">
        <v>5716.98</v>
      </c>
      <c r="AA16" s="70">
        <v>46031</v>
      </c>
      <c r="AB16" s="76" t="s">
        <v>80</v>
      </c>
      <c r="AC16" s="72" t="s">
        <v>101</v>
      </c>
      <c r="AD16" s="73"/>
      <c r="AE16" s="69">
        <v>5716.98</v>
      </c>
      <c r="AF16" s="69">
        <f t="shared" si="0"/>
        <v>-119862.79</v>
      </c>
      <c r="AG16" s="1">
        <v>50204020</v>
      </c>
      <c r="AH16" s="6"/>
      <c r="AI16" s="4"/>
      <c r="AJ16" s="77">
        <v>46031</v>
      </c>
      <c r="AK16" s="78">
        <v>0.45833333333333331</v>
      </c>
      <c r="AL16" s="77">
        <v>46031</v>
      </c>
      <c r="AM16" s="78">
        <v>0.66319444444444442</v>
      </c>
      <c r="AN16" s="14" t="s">
        <v>471</v>
      </c>
      <c r="AO16" s="14">
        <v>2.0399305555555556E-2</v>
      </c>
      <c r="AP16" s="4"/>
      <c r="AQ16" s="34" t="s">
        <v>102</v>
      </c>
      <c r="AR16" s="34"/>
      <c r="AS16" s="73">
        <v>5716.98</v>
      </c>
      <c r="AT16" s="34"/>
      <c r="AU16" s="34"/>
      <c r="AV16" s="34"/>
      <c r="AW16" s="34"/>
      <c r="AX16" s="4"/>
    </row>
    <row r="17" spans="1:50" x14ac:dyDescent="0.3">
      <c r="A17" s="75" t="s">
        <v>80</v>
      </c>
      <c r="B17" s="65" t="s">
        <v>103</v>
      </c>
      <c r="C17" s="65" t="s">
        <v>104</v>
      </c>
      <c r="D17" s="69" t="s">
        <v>83</v>
      </c>
      <c r="E17" s="63" t="s">
        <v>105</v>
      </c>
      <c r="F17" s="65" t="s">
        <v>106</v>
      </c>
      <c r="G17" s="68" t="s">
        <v>79</v>
      </c>
      <c r="H17" s="73"/>
      <c r="I17" s="73">
        <v>26.79</v>
      </c>
      <c r="J17" s="73">
        <v>66.959999999999994</v>
      </c>
      <c r="K17" s="73"/>
      <c r="L17" s="73"/>
      <c r="M17" s="73">
        <v>0</v>
      </c>
      <c r="N17" s="69">
        <v>93.75</v>
      </c>
      <c r="O17" s="69"/>
      <c r="P17" s="69"/>
      <c r="Q17" s="69"/>
      <c r="R17" s="69">
        <v>93.75</v>
      </c>
      <c r="S17" s="73"/>
      <c r="T17" s="73">
        <v>1500</v>
      </c>
      <c r="U17" s="73"/>
      <c r="V17" s="73"/>
      <c r="W17" s="73"/>
      <c r="X17" s="73"/>
      <c r="Y17" s="73">
        <v>1500</v>
      </c>
      <c r="Z17" s="73">
        <v>1406.25</v>
      </c>
      <c r="AA17" s="70">
        <v>46031</v>
      </c>
      <c r="AB17" s="76" t="s">
        <v>80</v>
      </c>
      <c r="AC17" s="72" t="s">
        <v>107</v>
      </c>
      <c r="AD17" s="73"/>
      <c r="AE17" s="69">
        <v>1406.25</v>
      </c>
      <c r="AF17" s="69">
        <f t="shared" si="0"/>
        <v>-121269.04</v>
      </c>
      <c r="AG17" s="1">
        <v>50205020</v>
      </c>
      <c r="AH17" s="6"/>
      <c r="AI17" s="4"/>
      <c r="AJ17" s="77">
        <v>46031</v>
      </c>
      <c r="AK17" s="78">
        <v>0.45833333333333331</v>
      </c>
      <c r="AL17" s="77">
        <v>46031</v>
      </c>
      <c r="AM17" s="78">
        <v>0.66319444444444442</v>
      </c>
      <c r="AN17" s="14" t="s">
        <v>471</v>
      </c>
      <c r="AO17" s="14">
        <v>2.0399305555555556E-2</v>
      </c>
      <c r="AP17" s="4"/>
      <c r="AQ17" s="34" t="s">
        <v>87</v>
      </c>
      <c r="AR17" s="34"/>
      <c r="AS17" s="73">
        <v>1406.25</v>
      </c>
      <c r="AT17" s="34"/>
      <c r="AU17" s="34"/>
      <c r="AV17" s="34"/>
      <c r="AW17" s="34"/>
      <c r="AX17" s="4"/>
    </row>
    <row r="18" spans="1:50" x14ac:dyDescent="0.3">
      <c r="A18" s="75" t="s">
        <v>80</v>
      </c>
      <c r="B18" s="64" t="s">
        <v>108</v>
      </c>
      <c r="C18" s="65" t="s">
        <v>109</v>
      </c>
      <c r="D18" s="69" t="s">
        <v>83</v>
      </c>
      <c r="E18" s="63" t="s">
        <v>84</v>
      </c>
      <c r="F18" s="65" t="s">
        <v>110</v>
      </c>
      <c r="G18" s="68" t="s">
        <v>79</v>
      </c>
      <c r="H18" s="69"/>
      <c r="I18" s="69">
        <v>48</v>
      </c>
      <c r="J18" s="69"/>
      <c r="K18" s="69">
        <v>72</v>
      </c>
      <c r="L18" s="69"/>
      <c r="M18" s="73">
        <v>0</v>
      </c>
      <c r="N18" s="69">
        <v>120</v>
      </c>
      <c r="O18" s="69"/>
      <c r="P18" s="69"/>
      <c r="Q18" s="69"/>
      <c r="R18" s="69">
        <v>120</v>
      </c>
      <c r="S18" s="69"/>
      <c r="T18" s="69">
        <v>2400</v>
      </c>
      <c r="U18" s="69"/>
      <c r="V18" s="69"/>
      <c r="W18" s="69"/>
      <c r="X18" s="69"/>
      <c r="Y18" s="69">
        <v>2400</v>
      </c>
      <c r="Z18" s="69">
        <v>2280</v>
      </c>
      <c r="AA18" s="70">
        <v>46031</v>
      </c>
      <c r="AB18" s="76" t="s">
        <v>80</v>
      </c>
      <c r="AC18" s="72" t="s">
        <v>111</v>
      </c>
      <c r="AD18" s="73"/>
      <c r="AE18" s="69">
        <v>2280</v>
      </c>
      <c r="AF18" s="69">
        <f t="shared" si="0"/>
        <v>-123549.04</v>
      </c>
      <c r="AG18" s="1">
        <v>50204010</v>
      </c>
      <c r="AH18" s="6"/>
      <c r="AI18" s="4"/>
      <c r="AJ18" s="77">
        <v>46031</v>
      </c>
      <c r="AK18" s="78">
        <v>0.45833333333333331</v>
      </c>
      <c r="AL18" s="77">
        <v>46031</v>
      </c>
      <c r="AM18" s="78">
        <v>0.66319444444444442</v>
      </c>
      <c r="AN18" s="14" t="s">
        <v>471</v>
      </c>
      <c r="AO18" s="14">
        <v>2.0399305555555556E-2</v>
      </c>
      <c r="AP18" s="4"/>
      <c r="AQ18" s="34" t="s">
        <v>87</v>
      </c>
      <c r="AR18" s="34"/>
      <c r="AS18" s="69">
        <v>2280</v>
      </c>
      <c r="AT18" s="34"/>
      <c r="AU18" s="34"/>
      <c r="AV18" s="34"/>
      <c r="AW18" s="34"/>
      <c r="AX18" s="4"/>
    </row>
    <row r="19" spans="1:50" x14ac:dyDescent="0.3">
      <c r="A19" s="75" t="s">
        <v>80</v>
      </c>
      <c r="B19" s="64" t="s">
        <v>112</v>
      </c>
      <c r="C19" s="65" t="s">
        <v>113</v>
      </c>
      <c r="D19" s="69" t="s">
        <v>83</v>
      </c>
      <c r="E19" s="63" t="s">
        <v>105</v>
      </c>
      <c r="F19" s="65" t="s">
        <v>114</v>
      </c>
      <c r="G19" s="68" t="s">
        <v>79</v>
      </c>
      <c r="H19" s="69"/>
      <c r="I19" s="69">
        <v>37.479999999999997</v>
      </c>
      <c r="J19" s="69">
        <v>93.71</v>
      </c>
      <c r="K19" s="69"/>
      <c r="L19" s="69"/>
      <c r="M19" s="73">
        <v>0</v>
      </c>
      <c r="N19" s="69">
        <v>131.19</v>
      </c>
      <c r="O19" s="69"/>
      <c r="P19" s="69"/>
      <c r="Q19" s="69"/>
      <c r="R19" s="69">
        <v>131.19</v>
      </c>
      <c r="S19" s="69"/>
      <c r="T19" s="69">
        <v>2099</v>
      </c>
      <c r="U19" s="69"/>
      <c r="V19" s="69"/>
      <c r="W19" s="69"/>
      <c r="X19" s="69"/>
      <c r="Y19" s="69">
        <v>2099</v>
      </c>
      <c r="Z19" s="69">
        <v>1967.81</v>
      </c>
      <c r="AA19" s="70">
        <v>46031</v>
      </c>
      <c r="AB19" s="76" t="s">
        <v>80</v>
      </c>
      <c r="AC19" s="72" t="s">
        <v>115</v>
      </c>
      <c r="AD19" s="73"/>
      <c r="AE19" s="69">
        <v>1967.81</v>
      </c>
      <c r="AF19" s="69">
        <f t="shared" si="0"/>
        <v>-125516.84999999999</v>
      </c>
      <c r="AG19" s="1">
        <v>50205030</v>
      </c>
      <c r="AH19" s="6"/>
      <c r="AI19" s="4"/>
      <c r="AJ19" s="77">
        <v>46031</v>
      </c>
      <c r="AK19" s="78">
        <v>0.45833333333333331</v>
      </c>
      <c r="AL19" s="77">
        <v>46031</v>
      </c>
      <c r="AM19" s="78">
        <v>0.66319444444444442</v>
      </c>
      <c r="AN19" s="14" t="s">
        <v>471</v>
      </c>
      <c r="AO19" s="14">
        <v>2.0399305555555556E-2</v>
      </c>
      <c r="AP19" s="4"/>
      <c r="AQ19" s="34" t="s">
        <v>87</v>
      </c>
      <c r="AR19" s="34"/>
      <c r="AS19" s="69">
        <v>1967.81</v>
      </c>
      <c r="AT19" s="34"/>
      <c r="AU19" s="34"/>
      <c r="AV19" s="34"/>
      <c r="AW19" s="34"/>
      <c r="AX19" s="4"/>
    </row>
    <row r="20" spans="1:50" x14ac:dyDescent="0.3">
      <c r="A20" s="75" t="s">
        <v>80</v>
      </c>
      <c r="B20" s="64" t="s">
        <v>116</v>
      </c>
      <c r="C20" s="65" t="s">
        <v>113</v>
      </c>
      <c r="D20" s="69" t="s">
        <v>83</v>
      </c>
      <c r="E20" s="63" t="s">
        <v>117</v>
      </c>
      <c r="F20" s="65" t="s">
        <v>118</v>
      </c>
      <c r="G20" s="68" t="s">
        <v>79</v>
      </c>
      <c r="H20" s="69"/>
      <c r="I20" s="69">
        <v>51.77</v>
      </c>
      <c r="J20" s="69">
        <v>129.41999999999999</v>
      </c>
      <c r="K20" s="69"/>
      <c r="L20" s="69"/>
      <c r="M20" s="73">
        <v>0</v>
      </c>
      <c r="N20" s="69">
        <v>181.19</v>
      </c>
      <c r="O20" s="69"/>
      <c r="P20" s="69"/>
      <c r="Q20" s="69"/>
      <c r="R20" s="69">
        <v>181.19</v>
      </c>
      <c r="S20" s="69"/>
      <c r="T20" s="69">
        <v>2899</v>
      </c>
      <c r="U20" s="69"/>
      <c r="V20" s="69"/>
      <c r="W20" s="69"/>
      <c r="X20" s="69"/>
      <c r="Y20" s="69">
        <v>2899</v>
      </c>
      <c r="Z20" s="69">
        <v>2717.81</v>
      </c>
      <c r="AA20" s="70">
        <v>46031</v>
      </c>
      <c r="AB20" s="76" t="s">
        <v>80</v>
      </c>
      <c r="AC20" s="72" t="s">
        <v>119</v>
      </c>
      <c r="AD20" s="73"/>
      <c r="AE20" s="69">
        <v>2717.81</v>
      </c>
      <c r="AF20" s="69">
        <f t="shared" si="0"/>
        <v>-128234.65999999999</v>
      </c>
      <c r="AG20" s="1" t="s">
        <v>120</v>
      </c>
      <c r="AH20" s="6"/>
      <c r="AI20" s="4"/>
      <c r="AJ20" s="77">
        <v>46031</v>
      </c>
      <c r="AK20" s="78">
        <v>0.45833333333333331</v>
      </c>
      <c r="AL20" s="77">
        <v>46031</v>
      </c>
      <c r="AM20" s="78">
        <v>0.66319444444444442</v>
      </c>
      <c r="AN20" s="14" t="s">
        <v>471</v>
      </c>
      <c r="AO20" s="14">
        <v>2.0399305555555556E-2</v>
      </c>
      <c r="AP20" s="4"/>
      <c r="AQ20" s="34" t="s">
        <v>87</v>
      </c>
      <c r="AR20" s="34"/>
      <c r="AS20" s="69">
        <v>2717.81</v>
      </c>
      <c r="AT20" s="34"/>
      <c r="AU20" s="34"/>
      <c r="AV20" s="34"/>
      <c r="AW20" s="34"/>
      <c r="AX20" s="4"/>
    </row>
    <row r="21" spans="1:50" x14ac:dyDescent="0.3">
      <c r="A21" s="75" t="s">
        <v>80</v>
      </c>
      <c r="B21" s="65" t="s">
        <v>190</v>
      </c>
      <c r="C21" s="65" t="s">
        <v>191</v>
      </c>
      <c r="D21" s="69" t="s">
        <v>83</v>
      </c>
      <c r="E21" s="63" t="s">
        <v>84</v>
      </c>
      <c r="F21" s="65" t="s">
        <v>192</v>
      </c>
      <c r="G21" s="68" t="s">
        <v>79</v>
      </c>
      <c r="H21" s="73"/>
      <c r="I21" s="73">
        <v>211.73</v>
      </c>
      <c r="J21" s="73"/>
      <c r="K21" s="73"/>
      <c r="L21" s="73"/>
      <c r="M21" s="73">
        <v>0</v>
      </c>
      <c r="N21" s="73">
        <v>211.73</v>
      </c>
      <c r="O21" s="73"/>
      <c r="P21" s="73"/>
      <c r="Q21" s="73"/>
      <c r="R21" s="73">
        <v>211.73</v>
      </c>
      <c r="S21" s="73"/>
      <c r="T21" s="73">
        <v>10586.45</v>
      </c>
      <c r="U21" s="73"/>
      <c r="V21" s="73"/>
      <c r="W21" s="73"/>
      <c r="X21" s="73"/>
      <c r="Y21" s="73">
        <v>10586.45</v>
      </c>
      <c r="Z21" s="73">
        <v>10374.719999999999</v>
      </c>
      <c r="AA21" s="70">
        <v>46035</v>
      </c>
      <c r="AB21" s="71" t="s">
        <v>80</v>
      </c>
      <c r="AC21" s="72" t="s">
        <v>193</v>
      </c>
      <c r="AD21" s="73"/>
      <c r="AE21" s="69">
        <v>10374.720000000001</v>
      </c>
      <c r="AF21" s="69">
        <f t="shared" si="0"/>
        <v>-138609.38</v>
      </c>
      <c r="AG21" s="1">
        <v>50204010</v>
      </c>
      <c r="AH21" s="6"/>
      <c r="AI21" s="4"/>
      <c r="AJ21" s="77">
        <v>46035</v>
      </c>
      <c r="AK21" s="78">
        <v>0.41319444444444442</v>
      </c>
      <c r="AL21" s="77">
        <v>46035</v>
      </c>
      <c r="AM21" s="78">
        <v>0.625</v>
      </c>
      <c r="AN21" s="14" t="s">
        <v>472</v>
      </c>
      <c r="AO21" s="14">
        <v>1.7013888888888891E-2</v>
      </c>
      <c r="AP21" s="4"/>
      <c r="AQ21" s="34" t="s">
        <v>87</v>
      </c>
      <c r="AR21" s="34"/>
      <c r="AS21" s="73">
        <v>10374.719999999999</v>
      </c>
      <c r="AT21" s="34"/>
      <c r="AU21" s="34"/>
      <c r="AV21" s="34"/>
      <c r="AW21" s="34"/>
      <c r="AX21" s="4"/>
    </row>
    <row r="22" spans="1:50" x14ac:dyDescent="0.3">
      <c r="A22" s="75" t="s">
        <v>80</v>
      </c>
      <c r="B22" s="65" t="s">
        <v>198</v>
      </c>
      <c r="C22" s="65" t="s">
        <v>199</v>
      </c>
      <c r="D22" s="69" t="s">
        <v>83</v>
      </c>
      <c r="E22" s="63" t="s">
        <v>154</v>
      </c>
      <c r="F22" s="65" t="s">
        <v>200</v>
      </c>
      <c r="G22" s="68" t="s">
        <v>79</v>
      </c>
      <c r="H22" s="73"/>
      <c r="I22" s="73">
        <v>187.72</v>
      </c>
      <c r="J22" s="73"/>
      <c r="K22" s="73"/>
      <c r="L22" s="73"/>
      <c r="M22" s="73">
        <v>0</v>
      </c>
      <c r="N22" s="73">
        <v>187.72</v>
      </c>
      <c r="O22" s="73"/>
      <c r="P22" s="73"/>
      <c r="Q22" s="73"/>
      <c r="R22" s="73">
        <v>187.72</v>
      </c>
      <c r="S22" s="73"/>
      <c r="T22" s="73">
        <v>4189.9799999999996</v>
      </c>
      <c r="U22" s="73"/>
      <c r="V22" s="73"/>
      <c r="W22" s="73"/>
      <c r="X22" s="73"/>
      <c r="Y22" s="73">
        <v>4189.9799999999996</v>
      </c>
      <c r="Z22" s="73">
        <v>4002.26</v>
      </c>
      <c r="AA22" s="70">
        <v>46035</v>
      </c>
      <c r="AB22" s="71" t="s">
        <v>80</v>
      </c>
      <c r="AC22" s="72" t="s">
        <v>201</v>
      </c>
      <c r="AD22" s="73"/>
      <c r="AE22" s="69">
        <v>4002.2599999999998</v>
      </c>
      <c r="AF22" s="69">
        <f t="shared" si="0"/>
        <v>-142611.64000000001</v>
      </c>
      <c r="AG22" s="1">
        <v>50204020</v>
      </c>
      <c r="AH22" s="6"/>
      <c r="AI22" s="4"/>
      <c r="AJ22" s="77">
        <v>46035</v>
      </c>
      <c r="AK22" s="78">
        <v>0.41319444444444442</v>
      </c>
      <c r="AL22" s="77">
        <v>46035</v>
      </c>
      <c r="AM22" s="78">
        <v>0.625</v>
      </c>
      <c r="AN22" s="14" t="s">
        <v>472</v>
      </c>
      <c r="AO22" s="14">
        <v>1.7013888888888891E-2</v>
      </c>
      <c r="AP22" s="4"/>
      <c r="AQ22" s="34" t="s">
        <v>102</v>
      </c>
      <c r="AR22" s="34"/>
      <c r="AS22" s="73">
        <v>4002.26</v>
      </c>
      <c r="AT22" s="34"/>
      <c r="AU22" s="34"/>
      <c r="AV22" s="34"/>
      <c r="AW22" s="34"/>
      <c r="AX22" s="4"/>
    </row>
    <row r="23" spans="1:50" x14ac:dyDescent="0.3">
      <c r="A23" s="75" t="s">
        <v>80</v>
      </c>
      <c r="B23" s="65" t="s">
        <v>202</v>
      </c>
      <c r="C23" s="65" t="s">
        <v>203</v>
      </c>
      <c r="D23" s="69" t="s">
        <v>83</v>
      </c>
      <c r="E23" s="63" t="s">
        <v>154</v>
      </c>
      <c r="F23" s="65" t="s">
        <v>204</v>
      </c>
      <c r="G23" s="68" t="s">
        <v>79</v>
      </c>
      <c r="H23" s="73"/>
      <c r="I23" s="73"/>
      <c r="J23" s="73"/>
      <c r="K23" s="73"/>
      <c r="L23" s="73"/>
      <c r="M23" s="73">
        <v>0</v>
      </c>
      <c r="N23" s="73">
        <v>0</v>
      </c>
      <c r="O23" s="73"/>
      <c r="P23" s="73"/>
      <c r="Q23" s="73"/>
      <c r="R23" s="73">
        <v>0</v>
      </c>
      <c r="S23" s="73"/>
      <c r="T23" s="73">
        <v>433</v>
      </c>
      <c r="U23" s="73"/>
      <c r="V23" s="73"/>
      <c r="W23" s="73"/>
      <c r="X23" s="73"/>
      <c r="Y23" s="73">
        <v>433</v>
      </c>
      <c r="Z23" s="73">
        <v>433</v>
      </c>
      <c r="AA23" s="70">
        <v>46035</v>
      </c>
      <c r="AB23" s="71" t="s">
        <v>80</v>
      </c>
      <c r="AC23" s="72" t="s">
        <v>205</v>
      </c>
      <c r="AD23" s="73"/>
      <c r="AE23" s="69">
        <v>433</v>
      </c>
      <c r="AF23" s="69">
        <f t="shared" si="0"/>
        <v>-143044.64000000001</v>
      </c>
      <c r="AG23" s="1">
        <v>50204010</v>
      </c>
      <c r="AH23" s="6"/>
      <c r="AI23" s="4"/>
      <c r="AJ23" s="77">
        <v>46035</v>
      </c>
      <c r="AK23" s="78">
        <v>0.41319444444444442</v>
      </c>
      <c r="AL23" s="77">
        <v>46035</v>
      </c>
      <c r="AM23" s="78">
        <v>0.625</v>
      </c>
      <c r="AN23" s="14" t="s">
        <v>472</v>
      </c>
      <c r="AO23" s="14">
        <v>1.7013888888888891E-2</v>
      </c>
      <c r="AP23" s="4"/>
      <c r="AQ23" s="34" t="s">
        <v>102</v>
      </c>
      <c r="AR23" s="34"/>
      <c r="AS23" s="73">
        <v>433</v>
      </c>
      <c r="AT23" s="34"/>
      <c r="AU23" s="34"/>
      <c r="AV23" s="34"/>
      <c r="AW23" s="34"/>
      <c r="AX23" s="4"/>
    </row>
    <row r="24" spans="1:50" x14ac:dyDescent="0.3">
      <c r="A24" s="75" t="s">
        <v>80</v>
      </c>
      <c r="B24" s="65" t="s">
        <v>206</v>
      </c>
      <c r="C24" s="65" t="s">
        <v>203</v>
      </c>
      <c r="D24" s="69" t="s">
        <v>83</v>
      </c>
      <c r="E24" s="63" t="s">
        <v>154</v>
      </c>
      <c r="F24" s="65" t="s">
        <v>207</v>
      </c>
      <c r="G24" s="68" t="s">
        <v>79</v>
      </c>
      <c r="H24" s="73"/>
      <c r="I24" s="73"/>
      <c r="J24" s="73"/>
      <c r="K24" s="73"/>
      <c r="L24" s="73"/>
      <c r="M24" s="73">
        <v>0</v>
      </c>
      <c r="N24" s="73">
        <v>0</v>
      </c>
      <c r="O24" s="73"/>
      <c r="P24" s="73"/>
      <c r="Q24" s="73"/>
      <c r="R24" s="73">
        <v>0</v>
      </c>
      <c r="S24" s="73"/>
      <c r="T24" s="73">
        <v>1000</v>
      </c>
      <c r="U24" s="73"/>
      <c r="V24" s="73"/>
      <c r="W24" s="73"/>
      <c r="X24" s="73"/>
      <c r="Y24" s="73">
        <v>1000</v>
      </c>
      <c r="Z24" s="73">
        <v>1000</v>
      </c>
      <c r="AA24" s="70">
        <v>46035</v>
      </c>
      <c r="AB24" s="71" t="s">
        <v>80</v>
      </c>
      <c r="AC24" s="72" t="s">
        <v>208</v>
      </c>
      <c r="AD24" s="73"/>
      <c r="AE24" s="69">
        <v>1000</v>
      </c>
      <c r="AF24" s="69">
        <f t="shared" si="0"/>
        <v>-144044.64000000001</v>
      </c>
      <c r="AG24" s="1">
        <v>50205020</v>
      </c>
      <c r="AH24" s="6"/>
      <c r="AI24" s="4"/>
      <c r="AJ24" s="77">
        <v>46035</v>
      </c>
      <c r="AK24" s="78">
        <v>0.41319444444444442</v>
      </c>
      <c r="AL24" s="77">
        <v>46035</v>
      </c>
      <c r="AM24" s="78">
        <v>0.625</v>
      </c>
      <c r="AN24" s="14" t="s">
        <v>472</v>
      </c>
      <c r="AO24" s="14">
        <v>1.7013888888888891E-2</v>
      </c>
      <c r="AP24" s="4"/>
      <c r="AQ24" s="34" t="s">
        <v>102</v>
      </c>
      <c r="AR24" s="34"/>
      <c r="AS24" s="73">
        <v>1000</v>
      </c>
      <c r="AT24" s="34"/>
      <c r="AU24" s="34"/>
      <c r="AV24" s="34"/>
      <c r="AW24" s="34"/>
      <c r="AX24" s="4"/>
    </row>
    <row r="25" spans="1:50" x14ac:dyDescent="0.3">
      <c r="A25" s="75" t="s">
        <v>80</v>
      </c>
      <c r="B25" s="65" t="s">
        <v>209</v>
      </c>
      <c r="C25" s="65" t="s">
        <v>210</v>
      </c>
      <c r="D25" s="69" t="s">
        <v>83</v>
      </c>
      <c r="E25" s="63" t="s">
        <v>143</v>
      </c>
      <c r="F25" s="65" t="s">
        <v>207</v>
      </c>
      <c r="G25" s="68" t="s">
        <v>79</v>
      </c>
      <c r="H25" s="73"/>
      <c r="I25" s="73"/>
      <c r="J25" s="73"/>
      <c r="K25" s="73"/>
      <c r="L25" s="73"/>
      <c r="M25" s="73">
        <v>0</v>
      </c>
      <c r="N25" s="73">
        <v>0</v>
      </c>
      <c r="O25" s="73"/>
      <c r="P25" s="73"/>
      <c r="Q25" s="73"/>
      <c r="R25" s="73">
        <v>0</v>
      </c>
      <c r="S25" s="73"/>
      <c r="T25" s="73">
        <v>600</v>
      </c>
      <c r="U25" s="73"/>
      <c r="V25" s="73"/>
      <c r="W25" s="73"/>
      <c r="X25" s="73"/>
      <c r="Y25" s="73">
        <v>600</v>
      </c>
      <c r="Z25" s="73">
        <v>600</v>
      </c>
      <c r="AA25" s="70">
        <v>46035</v>
      </c>
      <c r="AB25" s="71" t="s">
        <v>80</v>
      </c>
      <c r="AC25" s="72" t="s">
        <v>211</v>
      </c>
      <c r="AD25" s="73"/>
      <c r="AE25" s="69">
        <v>600</v>
      </c>
      <c r="AF25" s="69">
        <f t="shared" si="0"/>
        <v>-144644.64000000001</v>
      </c>
      <c r="AG25" s="1">
        <v>50201010</v>
      </c>
      <c r="AH25" s="6"/>
      <c r="AI25" s="4"/>
      <c r="AJ25" s="77">
        <v>46035</v>
      </c>
      <c r="AK25" s="78">
        <v>0.41319444444444442</v>
      </c>
      <c r="AL25" s="77">
        <v>46035</v>
      </c>
      <c r="AM25" s="78">
        <v>0.625</v>
      </c>
      <c r="AN25" s="14" t="s">
        <v>472</v>
      </c>
      <c r="AO25" s="14">
        <v>1.7013888888888891E-2</v>
      </c>
      <c r="AP25" s="4"/>
      <c r="AQ25" s="34" t="s">
        <v>102</v>
      </c>
      <c r="AR25" s="34"/>
      <c r="AS25" s="73">
        <v>600</v>
      </c>
      <c r="AT25" s="34"/>
      <c r="AU25" s="34"/>
      <c r="AV25" s="34"/>
      <c r="AW25" s="34"/>
      <c r="AX25" s="4"/>
    </row>
    <row r="26" spans="1:50" x14ac:dyDescent="0.3">
      <c r="A26" s="75" t="s">
        <v>80</v>
      </c>
      <c r="B26" s="65" t="s">
        <v>212</v>
      </c>
      <c r="C26" s="65" t="s">
        <v>203</v>
      </c>
      <c r="D26" s="69" t="s">
        <v>83</v>
      </c>
      <c r="E26" s="63" t="s">
        <v>154</v>
      </c>
      <c r="F26" s="65" t="s">
        <v>213</v>
      </c>
      <c r="G26" s="68" t="s">
        <v>79</v>
      </c>
      <c r="H26" s="73"/>
      <c r="I26" s="73">
        <v>67.86</v>
      </c>
      <c r="J26" s="73">
        <v>169.64</v>
      </c>
      <c r="K26" s="73"/>
      <c r="L26" s="73"/>
      <c r="M26" s="73">
        <v>0</v>
      </c>
      <c r="N26" s="73">
        <v>237.5</v>
      </c>
      <c r="O26" s="73"/>
      <c r="P26" s="73"/>
      <c r="Q26" s="73"/>
      <c r="R26" s="73">
        <v>237.5</v>
      </c>
      <c r="S26" s="73"/>
      <c r="T26" s="73">
        <v>3800</v>
      </c>
      <c r="U26" s="73"/>
      <c r="V26" s="73"/>
      <c r="W26" s="73"/>
      <c r="X26" s="73"/>
      <c r="Y26" s="73">
        <v>3800</v>
      </c>
      <c r="Z26" s="73">
        <v>3562.5</v>
      </c>
      <c r="AA26" s="70">
        <v>46035</v>
      </c>
      <c r="AB26" s="71" t="s">
        <v>80</v>
      </c>
      <c r="AC26" s="72" t="s">
        <v>214</v>
      </c>
      <c r="AD26" s="73"/>
      <c r="AE26" s="69">
        <v>3562.5</v>
      </c>
      <c r="AF26" s="69">
        <f t="shared" si="0"/>
        <v>-148207.14000000001</v>
      </c>
      <c r="AG26" s="1">
        <v>50205030</v>
      </c>
      <c r="AH26" s="6"/>
      <c r="AI26" s="4"/>
      <c r="AJ26" s="77">
        <v>46035</v>
      </c>
      <c r="AK26" s="78">
        <v>0.41319444444444442</v>
      </c>
      <c r="AL26" s="77">
        <v>46035</v>
      </c>
      <c r="AM26" s="78">
        <v>0.625</v>
      </c>
      <c r="AN26" s="14" t="s">
        <v>472</v>
      </c>
      <c r="AO26" s="14">
        <v>1.7013888888888891E-2</v>
      </c>
      <c r="AP26" s="4"/>
      <c r="AQ26" s="34" t="s">
        <v>102</v>
      </c>
      <c r="AR26" s="34"/>
      <c r="AS26" s="73">
        <v>3562.5</v>
      </c>
      <c r="AT26" s="34"/>
      <c r="AU26" s="34"/>
      <c r="AV26" s="34"/>
      <c r="AW26" s="34"/>
      <c r="AX26" s="4"/>
    </row>
    <row r="27" spans="1:50" x14ac:dyDescent="0.3">
      <c r="A27" s="75" t="s">
        <v>80</v>
      </c>
      <c r="B27" s="65" t="s">
        <v>225</v>
      </c>
      <c r="C27" s="65" t="s">
        <v>226</v>
      </c>
      <c r="D27" s="69" t="s">
        <v>83</v>
      </c>
      <c r="E27" s="63" t="s">
        <v>84</v>
      </c>
      <c r="F27" s="65" t="s">
        <v>227</v>
      </c>
      <c r="G27" s="68" t="s">
        <v>79</v>
      </c>
      <c r="H27" s="73"/>
      <c r="I27" s="73"/>
      <c r="J27" s="73">
        <v>391.66</v>
      </c>
      <c r="K27" s="73"/>
      <c r="L27" s="73"/>
      <c r="M27" s="73">
        <v>0</v>
      </c>
      <c r="N27" s="73">
        <v>391.66</v>
      </c>
      <c r="O27" s="73"/>
      <c r="P27" s="73"/>
      <c r="Q27" s="73"/>
      <c r="R27" s="73">
        <v>391.66</v>
      </c>
      <c r="S27" s="73"/>
      <c r="T27" s="73">
        <v>9782.58</v>
      </c>
      <c r="U27" s="73"/>
      <c r="V27" s="73"/>
      <c r="W27" s="73"/>
      <c r="X27" s="73"/>
      <c r="Y27" s="73">
        <v>9782.58</v>
      </c>
      <c r="Z27" s="73">
        <v>9390.92</v>
      </c>
      <c r="AA27" s="92">
        <v>46036</v>
      </c>
      <c r="AB27" s="71" t="s">
        <v>80</v>
      </c>
      <c r="AC27" s="72" t="s">
        <v>228</v>
      </c>
      <c r="AD27" s="73"/>
      <c r="AE27" s="69">
        <v>9390.92</v>
      </c>
      <c r="AF27" s="69">
        <f t="shared" si="0"/>
        <v>-157598.06000000003</v>
      </c>
      <c r="AG27" s="1">
        <v>19902050</v>
      </c>
      <c r="AH27" s="6"/>
      <c r="AI27" s="4"/>
      <c r="AJ27" s="77">
        <v>46036</v>
      </c>
      <c r="AK27" s="78">
        <v>0.37847222222222227</v>
      </c>
      <c r="AL27" s="77">
        <v>46036</v>
      </c>
      <c r="AM27" s="78">
        <v>0.49305555555555558</v>
      </c>
      <c r="AN27" s="14" t="s">
        <v>473</v>
      </c>
      <c r="AO27" s="14">
        <v>3.8194444444444441E-2</v>
      </c>
      <c r="AP27" s="4"/>
      <c r="AQ27" s="34" t="s">
        <v>87</v>
      </c>
      <c r="AR27" s="34"/>
      <c r="AS27" s="73">
        <v>9390.92</v>
      </c>
      <c r="AT27" s="34"/>
      <c r="AU27" s="34"/>
      <c r="AV27" s="34"/>
      <c r="AW27" s="34"/>
      <c r="AX27" s="4"/>
    </row>
    <row r="28" spans="1:50" x14ac:dyDescent="0.3">
      <c r="A28" s="75" t="s">
        <v>80</v>
      </c>
      <c r="B28" s="65" t="s">
        <v>229</v>
      </c>
      <c r="C28" s="65" t="s">
        <v>230</v>
      </c>
      <c r="D28" s="69" t="s">
        <v>83</v>
      </c>
      <c r="E28" s="63" t="s">
        <v>84</v>
      </c>
      <c r="F28" s="65" t="s">
        <v>231</v>
      </c>
      <c r="G28" s="68" t="s">
        <v>79</v>
      </c>
      <c r="H28" s="73"/>
      <c r="I28" s="73">
        <v>295.92</v>
      </c>
      <c r="J28" s="73">
        <v>739.79</v>
      </c>
      <c r="K28" s="73"/>
      <c r="L28" s="73"/>
      <c r="M28" s="73">
        <v>0</v>
      </c>
      <c r="N28" s="73">
        <v>1035.71</v>
      </c>
      <c r="O28" s="73"/>
      <c r="P28" s="73"/>
      <c r="Q28" s="73"/>
      <c r="R28" s="73">
        <v>1035.71</v>
      </c>
      <c r="S28" s="73"/>
      <c r="T28" s="73">
        <v>16571.259999999998</v>
      </c>
      <c r="U28" s="73"/>
      <c r="V28" s="73"/>
      <c r="W28" s="73"/>
      <c r="X28" s="73"/>
      <c r="Y28" s="73">
        <v>16571.259999999998</v>
      </c>
      <c r="Z28" s="73">
        <v>15535.55</v>
      </c>
      <c r="AA28" s="92">
        <v>46036</v>
      </c>
      <c r="AB28" s="71" t="s">
        <v>80</v>
      </c>
      <c r="AC28" s="72" t="s">
        <v>232</v>
      </c>
      <c r="AD28" s="73"/>
      <c r="AE28" s="69">
        <v>15535.55</v>
      </c>
      <c r="AF28" s="69">
        <f t="shared" si="0"/>
        <v>-173133.61000000002</v>
      </c>
      <c r="AG28" s="1">
        <v>50203090</v>
      </c>
      <c r="AH28" s="6"/>
      <c r="AI28" s="4"/>
      <c r="AJ28" s="77">
        <v>46036</v>
      </c>
      <c r="AK28" s="78">
        <v>0.37847222222222227</v>
      </c>
      <c r="AL28" s="77">
        <v>46036</v>
      </c>
      <c r="AM28" s="78">
        <v>0.49305555555555558</v>
      </c>
      <c r="AN28" s="14" t="s">
        <v>473</v>
      </c>
      <c r="AO28" s="14">
        <v>3.8194444444444441E-2</v>
      </c>
      <c r="AP28" s="4"/>
      <c r="AQ28" s="34" t="s">
        <v>102</v>
      </c>
      <c r="AR28" s="34"/>
      <c r="AS28" s="73">
        <v>15535.55</v>
      </c>
      <c r="AT28" s="34"/>
      <c r="AU28" s="34"/>
      <c r="AV28" s="34"/>
      <c r="AW28" s="34"/>
      <c r="AX28" s="4"/>
    </row>
    <row r="29" spans="1:50" x14ac:dyDescent="0.3">
      <c r="A29" s="75" t="s">
        <v>80</v>
      </c>
      <c r="B29" s="65" t="s">
        <v>240</v>
      </c>
      <c r="C29" s="65" t="s">
        <v>241</v>
      </c>
      <c r="D29" s="69" t="s">
        <v>83</v>
      </c>
      <c r="E29" s="63" t="s">
        <v>235</v>
      </c>
      <c r="F29" s="65" t="s">
        <v>242</v>
      </c>
      <c r="G29" s="68" t="s">
        <v>79</v>
      </c>
      <c r="H29" s="73"/>
      <c r="I29" s="73"/>
      <c r="J29" s="73">
        <v>3.68</v>
      </c>
      <c r="K29" s="73"/>
      <c r="L29" s="73"/>
      <c r="M29" s="73">
        <v>0</v>
      </c>
      <c r="N29" s="73">
        <v>3.68</v>
      </c>
      <c r="O29" s="73"/>
      <c r="P29" s="73"/>
      <c r="Q29" s="73"/>
      <c r="R29" s="73">
        <v>3.68</v>
      </c>
      <c r="S29" s="73"/>
      <c r="T29" s="73">
        <v>7638.63</v>
      </c>
      <c r="U29" s="73"/>
      <c r="V29" s="73"/>
      <c r="W29" s="73"/>
      <c r="X29" s="73"/>
      <c r="Y29" s="73">
        <v>7638.63</v>
      </c>
      <c r="Z29" s="73">
        <v>7634.95</v>
      </c>
      <c r="AA29" s="92">
        <v>46037</v>
      </c>
      <c r="AB29" s="71" t="s">
        <v>80</v>
      </c>
      <c r="AC29" s="72" t="s">
        <v>243</v>
      </c>
      <c r="AD29" s="73"/>
      <c r="AE29" s="69">
        <v>7634.95</v>
      </c>
      <c r="AF29" s="69">
        <f t="shared" si="0"/>
        <v>-180768.56000000003</v>
      </c>
      <c r="AG29" s="1">
        <v>50204020</v>
      </c>
      <c r="AH29" s="6"/>
      <c r="AI29" s="4"/>
      <c r="AJ29" s="77">
        <v>46037</v>
      </c>
      <c r="AK29" s="78">
        <v>0.40277777777777773</v>
      </c>
      <c r="AL29" s="77">
        <v>46037</v>
      </c>
      <c r="AM29" s="78">
        <v>0.5</v>
      </c>
      <c r="AN29" s="14" t="s">
        <v>474</v>
      </c>
      <c r="AO29" s="14">
        <v>3.2407407407407406E-2</v>
      </c>
      <c r="AP29" s="4"/>
      <c r="AQ29" s="34" t="s">
        <v>87</v>
      </c>
      <c r="AR29" s="34"/>
      <c r="AS29" s="73">
        <v>7634.95</v>
      </c>
      <c r="AT29" s="34"/>
      <c r="AU29" s="34"/>
      <c r="AV29" s="34"/>
      <c r="AW29" s="34"/>
      <c r="AX29" s="4"/>
    </row>
    <row r="30" spans="1:50" x14ac:dyDescent="0.3">
      <c r="A30" s="75" t="s">
        <v>80</v>
      </c>
      <c r="B30" s="64" t="s">
        <v>244</v>
      </c>
      <c r="C30" s="65" t="s">
        <v>245</v>
      </c>
      <c r="D30" s="69" t="s">
        <v>83</v>
      </c>
      <c r="E30" s="63" t="s">
        <v>84</v>
      </c>
      <c r="F30" s="65" t="s">
        <v>246</v>
      </c>
      <c r="G30" s="68" t="s">
        <v>79</v>
      </c>
      <c r="H30" s="73"/>
      <c r="I30" s="73">
        <v>28.36</v>
      </c>
      <c r="J30" s="73">
        <v>70.89</v>
      </c>
      <c r="K30" s="73"/>
      <c r="L30" s="73"/>
      <c r="M30" s="73">
        <v>0</v>
      </c>
      <c r="N30" s="73">
        <v>99.25</v>
      </c>
      <c r="O30" s="73"/>
      <c r="P30" s="73"/>
      <c r="Q30" s="73"/>
      <c r="R30" s="73">
        <v>99.25</v>
      </c>
      <c r="S30" s="73"/>
      <c r="T30" s="73">
        <v>1588</v>
      </c>
      <c r="U30" s="73"/>
      <c r="V30" s="73"/>
      <c r="W30" s="73"/>
      <c r="X30" s="73"/>
      <c r="Y30" s="73">
        <v>1588</v>
      </c>
      <c r="Z30" s="73">
        <v>1488.75</v>
      </c>
      <c r="AA30" s="92">
        <v>46037</v>
      </c>
      <c r="AB30" s="71" t="s">
        <v>80</v>
      </c>
      <c r="AC30" s="72" t="s">
        <v>247</v>
      </c>
      <c r="AD30" s="73"/>
      <c r="AE30" s="69">
        <v>1488.75</v>
      </c>
      <c r="AF30" s="69">
        <f t="shared" si="0"/>
        <v>-182257.31000000003</v>
      </c>
      <c r="AG30" s="1">
        <v>50205010</v>
      </c>
      <c r="AH30" s="6"/>
      <c r="AI30" s="4"/>
      <c r="AJ30" s="77">
        <v>46037</v>
      </c>
      <c r="AK30" s="78">
        <v>0.40277777777777773</v>
      </c>
      <c r="AL30" s="77">
        <v>46037</v>
      </c>
      <c r="AM30" s="78">
        <v>0.5</v>
      </c>
      <c r="AN30" s="14" t="s">
        <v>474</v>
      </c>
      <c r="AO30" s="14">
        <v>3.2407407407407406E-2</v>
      </c>
      <c r="AP30" s="4"/>
      <c r="AQ30" s="34" t="s">
        <v>102</v>
      </c>
      <c r="AR30" s="34"/>
      <c r="AS30" s="73">
        <v>1488.75</v>
      </c>
      <c r="AT30" s="34"/>
      <c r="AU30" s="34"/>
      <c r="AV30" s="34"/>
      <c r="AW30" s="34"/>
      <c r="AX30" s="4"/>
    </row>
    <row r="31" spans="1:50" x14ac:dyDescent="0.3">
      <c r="A31" s="75" t="s">
        <v>80</v>
      </c>
      <c r="B31" s="64" t="s">
        <v>251</v>
      </c>
      <c r="C31" s="65" t="s">
        <v>252</v>
      </c>
      <c r="D31" s="69" t="s">
        <v>83</v>
      </c>
      <c r="E31" s="63" t="s">
        <v>143</v>
      </c>
      <c r="F31" s="65" t="s">
        <v>207</v>
      </c>
      <c r="G31" s="68" t="s">
        <v>79</v>
      </c>
      <c r="H31" s="73"/>
      <c r="I31" s="73"/>
      <c r="J31" s="73"/>
      <c r="K31" s="73"/>
      <c r="L31" s="73"/>
      <c r="M31" s="73">
        <v>0</v>
      </c>
      <c r="N31" s="73">
        <v>0</v>
      </c>
      <c r="O31" s="73"/>
      <c r="P31" s="73"/>
      <c r="Q31" s="73"/>
      <c r="R31" s="73">
        <v>0</v>
      </c>
      <c r="S31" s="73"/>
      <c r="T31" s="73">
        <v>600</v>
      </c>
      <c r="U31" s="73"/>
      <c r="V31" s="73"/>
      <c r="W31" s="73"/>
      <c r="X31" s="73"/>
      <c r="Y31" s="73">
        <v>600</v>
      </c>
      <c r="Z31" s="73">
        <v>600</v>
      </c>
      <c r="AA31" s="92">
        <v>46038</v>
      </c>
      <c r="AB31" s="71" t="s">
        <v>80</v>
      </c>
      <c r="AC31" s="72" t="s">
        <v>253</v>
      </c>
      <c r="AD31" s="73"/>
      <c r="AE31" s="69">
        <v>600</v>
      </c>
      <c r="AF31" s="69">
        <f t="shared" si="0"/>
        <v>-182857.31000000003</v>
      </c>
      <c r="AG31" s="1">
        <v>50201010</v>
      </c>
      <c r="AH31" s="6"/>
      <c r="AI31" s="4"/>
      <c r="AJ31" s="77">
        <v>46038</v>
      </c>
      <c r="AK31" s="78">
        <v>0.56597222222222221</v>
      </c>
      <c r="AL31" s="77">
        <v>46038</v>
      </c>
      <c r="AM31" s="78">
        <v>0.625</v>
      </c>
      <c r="AN31" s="14" t="s">
        <v>475</v>
      </c>
      <c r="AO31" s="14">
        <v>7.378472222222222E-3</v>
      </c>
      <c r="AP31" s="4"/>
      <c r="AQ31" s="34" t="s">
        <v>102</v>
      </c>
      <c r="AR31" s="34"/>
      <c r="AS31" s="73">
        <v>600</v>
      </c>
      <c r="AT31" s="34"/>
      <c r="AU31" s="34"/>
      <c r="AV31" s="34"/>
      <c r="AW31" s="34"/>
      <c r="AX31" s="4"/>
    </row>
    <row r="32" spans="1:50" x14ac:dyDescent="0.3">
      <c r="A32" s="75" t="s">
        <v>80</v>
      </c>
      <c r="B32" s="64" t="s">
        <v>254</v>
      </c>
      <c r="C32" s="65" t="s">
        <v>255</v>
      </c>
      <c r="D32" s="69" t="s">
        <v>83</v>
      </c>
      <c r="E32" s="63" t="s">
        <v>99</v>
      </c>
      <c r="F32" s="65" t="s">
        <v>207</v>
      </c>
      <c r="G32" s="68" t="s">
        <v>79</v>
      </c>
      <c r="H32" s="73"/>
      <c r="I32" s="73"/>
      <c r="J32" s="73"/>
      <c r="K32" s="73"/>
      <c r="L32" s="73"/>
      <c r="M32" s="73">
        <v>0</v>
      </c>
      <c r="N32" s="73">
        <v>0</v>
      </c>
      <c r="O32" s="73"/>
      <c r="P32" s="73"/>
      <c r="Q32" s="73"/>
      <c r="R32" s="73">
        <v>0</v>
      </c>
      <c r="S32" s="73"/>
      <c r="T32" s="73">
        <v>1000</v>
      </c>
      <c r="U32" s="73"/>
      <c r="V32" s="73"/>
      <c r="W32" s="73"/>
      <c r="X32" s="73"/>
      <c r="Y32" s="73">
        <v>1000</v>
      </c>
      <c r="Z32" s="73">
        <v>1000</v>
      </c>
      <c r="AA32" s="92">
        <v>46038</v>
      </c>
      <c r="AB32" s="71" t="s">
        <v>80</v>
      </c>
      <c r="AC32" s="72" t="s">
        <v>256</v>
      </c>
      <c r="AD32" s="73"/>
      <c r="AE32" s="69">
        <v>1000</v>
      </c>
      <c r="AF32" s="69">
        <f t="shared" si="0"/>
        <v>-183857.31000000003</v>
      </c>
      <c r="AG32" s="1">
        <v>50205020</v>
      </c>
      <c r="AH32" s="6"/>
      <c r="AI32" s="4"/>
      <c r="AJ32" s="77">
        <v>46038</v>
      </c>
      <c r="AK32" s="78">
        <v>0.56597222222222221</v>
      </c>
      <c r="AL32" s="77">
        <v>46038</v>
      </c>
      <c r="AM32" s="78">
        <v>0.625</v>
      </c>
      <c r="AN32" s="14" t="s">
        <v>475</v>
      </c>
      <c r="AO32" s="14">
        <v>7.378472222222222E-3</v>
      </c>
      <c r="AP32" s="4"/>
      <c r="AQ32" s="34" t="s">
        <v>102</v>
      </c>
      <c r="AR32" s="34"/>
      <c r="AS32" s="73">
        <v>1000</v>
      </c>
      <c r="AT32" s="34"/>
      <c r="AU32" s="34"/>
      <c r="AV32" s="34"/>
      <c r="AW32" s="34"/>
      <c r="AX32" s="4"/>
    </row>
    <row r="33" spans="1:50" x14ac:dyDescent="0.3">
      <c r="A33" s="75" t="s">
        <v>80</v>
      </c>
      <c r="B33" s="64" t="s">
        <v>257</v>
      </c>
      <c r="C33" s="65" t="s">
        <v>258</v>
      </c>
      <c r="D33" s="69" t="s">
        <v>83</v>
      </c>
      <c r="E33" s="63" t="s">
        <v>84</v>
      </c>
      <c r="F33" s="65" t="s">
        <v>259</v>
      </c>
      <c r="G33" s="68" t="s">
        <v>79</v>
      </c>
      <c r="H33" s="73"/>
      <c r="I33" s="73"/>
      <c r="J33" s="73"/>
      <c r="K33" s="73"/>
      <c r="L33" s="73"/>
      <c r="M33" s="73">
        <v>0</v>
      </c>
      <c r="N33" s="73">
        <v>0</v>
      </c>
      <c r="O33" s="73"/>
      <c r="P33" s="73"/>
      <c r="Q33" s="73"/>
      <c r="R33" s="73">
        <v>0</v>
      </c>
      <c r="S33" s="73"/>
      <c r="T33" s="73">
        <v>4631</v>
      </c>
      <c r="U33" s="73"/>
      <c r="V33" s="73"/>
      <c r="W33" s="73"/>
      <c r="X33" s="73"/>
      <c r="Y33" s="73">
        <v>4631</v>
      </c>
      <c r="Z33" s="73">
        <v>4631</v>
      </c>
      <c r="AA33" s="92">
        <v>46038</v>
      </c>
      <c r="AB33" s="71" t="s">
        <v>80</v>
      </c>
      <c r="AC33" s="72" t="s">
        <v>260</v>
      </c>
      <c r="AD33" s="73"/>
      <c r="AE33" s="69">
        <v>4631</v>
      </c>
      <c r="AF33" s="69">
        <f t="shared" si="0"/>
        <v>-188488.31000000003</v>
      </c>
      <c r="AG33" s="1">
        <v>10101020</v>
      </c>
      <c r="AH33" s="6"/>
      <c r="AI33" s="4"/>
      <c r="AJ33" s="77">
        <v>46038</v>
      </c>
      <c r="AK33" s="78">
        <v>0.56597222222222221</v>
      </c>
      <c r="AL33" s="77">
        <v>46038</v>
      </c>
      <c r="AM33" s="78">
        <v>0.625</v>
      </c>
      <c r="AN33" s="14" t="s">
        <v>475</v>
      </c>
      <c r="AO33" s="14">
        <v>7.378472222222222E-3</v>
      </c>
      <c r="AP33" s="4"/>
      <c r="AQ33" s="34" t="s">
        <v>102</v>
      </c>
      <c r="AR33" s="34"/>
      <c r="AS33" s="73">
        <v>4631</v>
      </c>
      <c r="AT33" s="34"/>
      <c r="AU33" s="34"/>
      <c r="AV33" s="34"/>
      <c r="AW33" s="34"/>
      <c r="AX33" s="4"/>
    </row>
    <row r="34" spans="1:50" x14ac:dyDescent="0.3">
      <c r="A34" s="75" t="s">
        <v>80</v>
      </c>
      <c r="B34" s="64" t="s">
        <v>261</v>
      </c>
      <c r="C34" s="65" t="s">
        <v>262</v>
      </c>
      <c r="D34" s="69" t="s">
        <v>83</v>
      </c>
      <c r="E34" s="63" t="s">
        <v>94</v>
      </c>
      <c r="F34" s="65" t="s">
        <v>263</v>
      </c>
      <c r="G34" s="68" t="s">
        <v>79</v>
      </c>
      <c r="H34" s="73"/>
      <c r="I34" s="73"/>
      <c r="J34" s="73"/>
      <c r="K34" s="73"/>
      <c r="L34" s="73"/>
      <c r="M34" s="73">
        <v>0</v>
      </c>
      <c r="N34" s="73">
        <v>0</v>
      </c>
      <c r="O34" s="73"/>
      <c r="P34" s="73"/>
      <c r="Q34" s="73"/>
      <c r="R34" s="73">
        <v>0</v>
      </c>
      <c r="S34" s="73"/>
      <c r="T34" s="73">
        <v>3914.5</v>
      </c>
      <c r="U34" s="73"/>
      <c r="V34" s="73"/>
      <c r="W34" s="73"/>
      <c r="X34" s="73"/>
      <c r="Y34" s="73">
        <v>3914.5</v>
      </c>
      <c r="Z34" s="73">
        <v>3914.5</v>
      </c>
      <c r="AA34" s="92">
        <v>46038</v>
      </c>
      <c r="AB34" s="71" t="s">
        <v>80</v>
      </c>
      <c r="AC34" s="72" t="s">
        <v>264</v>
      </c>
      <c r="AD34" s="73"/>
      <c r="AE34" s="69">
        <v>3914.5</v>
      </c>
      <c r="AF34" s="69">
        <f t="shared" si="0"/>
        <v>-192402.81000000003</v>
      </c>
      <c r="AG34" s="1">
        <v>10101020</v>
      </c>
      <c r="AH34" s="6"/>
      <c r="AI34" s="4"/>
      <c r="AJ34" s="77">
        <v>46038</v>
      </c>
      <c r="AK34" s="78">
        <v>0.56597222222222221</v>
      </c>
      <c r="AL34" s="77">
        <v>46038</v>
      </c>
      <c r="AM34" s="78">
        <v>0.625</v>
      </c>
      <c r="AN34" s="14" t="s">
        <v>475</v>
      </c>
      <c r="AO34" s="14">
        <v>7.378472222222222E-3</v>
      </c>
      <c r="AP34" s="4"/>
      <c r="AQ34" s="34" t="s">
        <v>102</v>
      </c>
      <c r="AR34" s="34"/>
      <c r="AS34" s="73">
        <v>3914.5</v>
      </c>
      <c r="AT34" s="34"/>
      <c r="AU34" s="34"/>
      <c r="AV34" s="34"/>
      <c r="AW34" s="34"/>
      <c r="AX34" s="4"/>
    </row>
    <row r="35" spans="1:50" x14ac:dyDescent="0.3">
      <c r="A35" s="75" t="s">
        <v>80</v>
      </c>
      <c r="B35" s="64" t="s">
        <v>265</v>
      </c>
      <c r="C35" s="65" t="s">
        <v>266</v>
      </c>
      <c r="D35" s="69" t="s">
        <v>83</v>
      </c>
      <c r="E35" s="63" t="s">
        <v>99</v>
      </c>
      <c r="F35" s="65" t="s">
        <v>267</v>
      </c>
      <c r="G35" s="68" t="s">
        <v>79</v>
      </c>
      <c r="H35" s="73"/>
      <c r="I35" s="73"/>
      <c r="J35" s="73"/>
      <c r="K35" s="73"/>
      <c r="L35" s="73"/>
      <c r="M35" s="73">
        <v>0</v>
      </c>
      <c r="N35" s="73">
        <v>0</v>
      </c>
      <c r="O35" s="73"/>
      <c r="P35" s="73"/>
      <c r="Q35" s="73"/>
      <c r="R35" s="73">
        <v>0</v>
      </c>
      <c r="S35" s="73"/>
      <c r="T35" s="73">
        <v>800</v>
      </c>
      <c r="U35" s="73"/>
      <c r="V35" s="73"/>
      <c r="W35" s="73"/>
      <c r="X35" s="73"/>
      <c r="Y35" s="73">
        <v>800</v>
      </c>
      <c r="Z35" s="73">
        <v>800</v>
      </c>
      <c r="AA35" s="92">
        <v>46038</v>
      </c>
      <c r="AB35" s="71" t="s">
        <v>80</v>
      </c>
      <c r="AC35" s="72" t="s">
        <v>268</v>
      </c>
      <c r="AD35" s="73"/>
      <c r="AE35" s="69">
        <v>800</v>
      </c>
      <c r="AF35" s="69">
        <f t="shared" si="0"/>
        <v>-193202.81000000003</v>
      </c>
      <c r="AG35" s="1">
        <v>10101020</v>
      </c>
      <c r="AH35" s="6"/>
      <c r="AI35" s="4"/>
      <c r="AJ35" s="77">
        <v>46038</v>
      </c>
      <c r="AK35" s="78">
        <v>0.56597222222222221</v>
      </c>
      <c r="AL35" s="77">
        <v>46038</v>
      </c>
      <c r="AM35" s="78">
        <v>0.625</v>
      </c>
      <c r="AN35" s="14" t="s">
        <v>475</v>
      </c>
      <c r="AO35" s="14">
        <v>7.378472222222222E-3</v>
      </c>
      <c r="AP35" s="4"/>
      <c r="AQ35" s="34" t="s">
        <v>102</v>
      </c>
      <c r="AR35" s="34"/>
      <c r="AS35" s="73">
        <v>800</v>
      </c>
      <c r="AT35" s="34"/>
      <c r="AU35" s="34"/>
      <c r="AV35" s="34"/>
      <c r="AW35" s="34"/>
      <c r="AX35" s="4"/>
    </row>
    <row r="36" spans="1:50" x14ac:dyDescent="0.3">
      <c r="A36" s="75" t="s">
        <v>80</v>
      </c>
      <c r="B36" s="64" t="s">
        <v>269</v>
      </c>
      <c r="C36" s="65" t="s">
        <v>270</v>
      </c>
      <c r="D36" s="69" t="s">
        <v>83</v>
      </c>
      <c r="E36" s="63" t="s">
        <v>105</v>
      </c>
      <c r="F36" s="65" t="s">
        <v>271</v>
      </c>
      <c r="G36" s="68" t="s">
        <v>79</v>
      </c>
      <c r="H36" s="73"/>
      <c r="I36" s="73"/>
      <c r="J36" s="73"/>
      <c r="K36" s="73"/>
      <c r="L36" s="73"/>
      <c r="M36" s="73">
        <v>0</v>
      </c>
      <c r="N36" s="73">
        <v>0</v>
      </c>
      <c r="O36" s="73"/>
      <c r="P36" s="73"/>
      <c r="Q36" s="73"/>
      <c r="R36" s="73">
        <v>0</v>
      </c>
      <c r="S36" s="73"/>
      <c r="T36" s="73">
        <v>2176</v>
      </c>
      <c r="U36" s="73"/>
      <c r="V36" s="73"/>
      <c r="W36" s="73"/>
      <c r="X36" s="73"/>
      <c r="Y36" s="73">
        <v>2176</v>
      </c>
      <c r="Z36" s="73">
        <v>2176</v>
      </c>
      <c r="AA36" s="92">
        <v>46038</v>
      </c>
      <c r="AB36" s="71" t="s">
        <v>80</v>
      </c>
      <c r="AC36" s="72" t="s">
        <v>272</v>
      </c>
      <c r="AD36" s="73"/>
      <c r="AE36" s="69">
        <v>2176</v>
      </c>
      <c r="AF36" s="69">
        <f t="shared" si="0"/>
        <v>-195378.81000000003</v>
      </c>
      <c r="AG36" s="1">
        <v>10101020</v>
      </c>
      <c r="AH36" s="6"/>
      <c r="AI36" s="4"/>
      <c r="AJ36" s="77">
        <v>46038</v>
      </c>
      <c r="AK36" s="78">
        <v>0.56597222222222221</v>
      </c>
      <c r="AL36" s="77">
        <v>46038</v>
      </c>
      <c r="AM36" s="78">
        <v>0.625</v>
      </c>
      <c r="AN36" s="14" t="s">
        <v>475</v>
      </c>
      <c r="AO36" s="14">
        <v>7.378472222222222E-3</v>
      </c>
      <c r="AP36" s="4"/>
      <c r="AQ36" s="34" t="s">
        <v>102</v>
      </c>
      <c r="AR36" s="34"/>
      <c r="AS36" s="73">
        <v>2176</v>
      </c>
      <c r="AT36" s="34"/>
      <c r="AU36" s="34"/>
      <c r="AV36" s="34"/>
      <c r="AW36" s="34"/>
      <c r="AX36" s="4"/>
    </row>
    <row r="37" spans="1:50" x14ac:dyDescent="0.3">
      <c r="A37" s="75" t="s">
        <v>80</v>
      </c>
      <c r="B37" s="64" t="s">
        <v>273</v>
      </c>
      <c r="C37" s="65" t="s">
        <v>255</v>
      </c>
      <c r="D37" s="69" t="s">
        <v>83</v>
      </c>
      <c r="E37" s="63" t="s">
        <v>99</v>
      </c>
      <c r="F37" s="65" t="s">
        <v>274</v>
      </c>
      <c r="G37" s="68" t="s">
        <v>79</v>
      </c>
      <c r="H37" s="73"/>
      <c r="I37" s="73"/>
      <c r="J37" s="73"/>
      <c r="K37" s="73"/>
      <c r="L37" s="73"/>
      <c r="M37" s="73">
        <v>0</v>
      </c>
      <c r="N37" s="73">
        <v>0</v>
      </c>
      <c r="O37" s="73"/>
      <c r="P37" s="73"/>
      <c r="Q37" s="73"/>
      <c r="R37" s="73">
        <v>0</v>
      </c>
      <c r="S37" s="73"/>
      <c r="T37" s="73">
        <v>3269.5</v>
      </c>
      <c r="U37" s="73"/>
      <c r="V37" s="73"/>
      <c r="W37" s="73"/>
      <c r="X37" s="73"/>
      <c r="Y37" s="73">
        <v>3269.5</v>
      </c>
      <c r="Z37" s="73">
        <v>3269.5</v>
      </c>
      <c r="AA37" s="92">
        <v>46038</v>
      </c>
      <c r="AB37" s="71" t="s">
        <v>80</v>
      </c>
      <c r="AC37" s="72" t="s">
        <v>275</v>
      </c>
      <c r="AD37" s="73"/>
      <c r="AE37" s="69">
        <v>3269.5</v>
      </c>
      <c r="AF37" s="69">
        <f t="shared" si="0"/>
        <v>-198648.31000000003</v>
      </c>
      <c r="AG37" s="1">
        <v>10101020</v>
      </c>
      <c r="AH37" s="6"/>
      <c r="AI37" s="4"/>
      <c r="AJ37" s="77">
        <v>46038</v>
      </c>
      <c r="AK37" s="78">
        <v>0.56597222222222221</v>
      </c>
      <c r="AL37" s="77">
        <v>46038</v>
      </c>
      <c r="AM37" s="78">
        <v>0.625</v>
      </c>
      <c r="AN37" s="14" t="s">
        <v>475</v>
      </c>
      <c r="AO37" s="14">
        <v>7.378472222222222E-3</v>
      </c>
      <c r="AP37" s="4"/>
      <c r="AQ37" s="34" t="s">
        <v>102</v>
      </c>
      <c r="AR37" s="34"/>
      <c r="AS37" s="73">
        <v>3269.5</v>
      </c>
      <c r="AT37" s="34"/>
      <c r="AU37" s="34"/>
      <c r="AV37" s="34"/>
      <c r="AW37" s="34"/>
      <c r="AX37" s="4"/>
    </row>
    <row r="38" spans="1:50" x14ac:dyDescent="0.3">
      <c r="A38" s="75" t="s">
        <v>80</v>
      </c>
      <c r="B38" s="64" t="s">
        <v>276</v>
      </c>
      <c r="C38" s="65" t="s">
        <v>203</v>
      </c>
      <c r="D38" s="69" t="s">
        <v>83</v>
      </c>
      <c r="E38" s="63" t="s">
        <v>154</v>
      </c>
      <c r="F38" s="65" t="s">
        <v>277</v>
      </c>
      <c r="G38" s="68" t="s">
        <v>79</v>
      </c>
      <c r="H38" s="73"/>
      <c r="I38" s="73"/>
      <c r="J38" s="73"/>
      <c r="K38" s="73"/>
      <c r="L38" s="73"/>
      <c r="M38" s="73">
        <v>0</v>
      </c>
      <c r="N38" s="73">
        <v>0</v>
      </c>
      <c r="O38" s="73"/>
      <c r="P38" s="73"/>
      <c r="Q38" s="73"/>
      <c r="R38" s="73">
        <v>0</v>
      </c>
      <c r="S38" s="73"/>
      <c r="T38" s="73">
        <v>2946</v>
      </c>
      <c r="U38" s="73"/>
      <c r="V38" s="73"/>
      <c r="W38" s="73"/>
      <c r="X38" s="73"/>
      <c r="Y38" s="73">
        <v>2946</v>
      </c>
      <c r="Z38" s="73">
        <v>2946</v>
      </c>
      <c r="AA38" s="92">
        <v>46038</v>
      </c>
      <c r="AB38" s="71" t="s">
        <v>80</v>
      </c>
      <c r="AC38" s="72" t="s">
        <v>278</v>
      </c>
      <c r="AD38" s="73"/>
      <c r="AE38" s="69">
        <v>2946</v>
      </c>
      <c r="AF38" s="69">
        <f t="shared" si="0"/>
        <v>-201594.31000000003</v>
      </c>
      <c r="AG38" s="1">
        <v>10101020</v>
      </c>
      <c r="AH38" s="6"/>
      <c r="AI38" s="4"/>
      <c r="AJ38" s="77">
        <v>46038</v>
      </c>
      <c r="AK38" s="78">
        <v>0.56597222222222221</v>
      </c>
      <c r="AL38" s="77">
        <v>46038</v>
      </c>
      <c r="AM38" s="78">
        <v>0.625</v>
      </c>
      <c r="AN38" s="14" t="s">
        <v>475</v>
      </c>
      <c r="AO38" s="14">
        <v>7.378472222222222E-3</v>
      </c>
      <c r="AP38" s="4"/>
      <c r="AQ38" s="34" t="s">
        <v>102</v>
      </c>
      <c r="AR38" s="34"/>
      <c r="AS38" s="73">
        <v>2946</v>
      </c>
      <c r="AT38" s="34"/>
      <c r="AU38" s="34"/>
      <c r="AV38" s="34"/>
      <c r="AW38" s="34"/>
      <c r="AX38" s="4"/>
    </row>
    <row r="39" spans="1:50" x14ac:dyDescent="0.3">
      <c r="A39" s="75" t="s">
        <v>80</v>
      </c>
      <c r="B39" s="64" t="s">
        <v>299</v>
      </c>
      <c r="C39" s="65" t="s">
        <v>300</v>
      </c>
      <c r="D39" s="69" t="s">
        <v>83</v>
      </c>
      <c r="E39" s="63" t="s">
        <v>235</v>
      </c>
      <c r="F39" s="65" t="s">
        <v>301</v>
      </c>
      <c r="G39" s="68" t="s">
        <v>79</v>
      </c>
      <c r="H39" s="73"/>
      <c r="I39" s="73"/>
      <c r="J39" s="73"/>
      <c r="K39" s="73"/>
      <c r="L39" s="73"/>
      <c r="M39" s="73">
        <v>0</v>
      </c>
      <c r="N39" s="73">
        <v>0</v>
      </c>
      <c r="O39" s="73"/>
      <c r="P39" s="73"/>
      <c r="Q39" s="73"/>
      <c r="R39" s="73">
        <v>0</v>
      </c>
      <c r="S39" s="73"/>
      <c r="T39" s="73">
        <v>3805</v>
      </c>
      <c r="U39" s="73"/>
      <c r="V39" s="73"/>
      <c r="W39" s="73"/>
      <c r="X39" s="73"/>
      <c r="Y39" s="73">
        <v>3805</v>
      </c>
      <c r="Z39" s="73">
        <v>3805</v>
      </c>
      <c r="AA39" s="70">
        <v>46042</v>
      </c>
      <c r="AB39" s="71" t="s">
        <v>80</v>
      </c>
      <c r="AC39" s="72" t="s">
        <v>302</v>
      </c>
      <c r="AD39" s="73"/>
      <c r="AE39" s="69">
        <v>3805</v>
      </c>
      <c r="AF39" s="69">
        <f t="shared" si="0"/>
        <v>-205399.31000000003</v>
      </c>
      <c r="AG39" s="1">
        <v>10101020</v>
      </c>
      <c r="AH39" s="6"/>
      <c r="AI39" s="4"/>
      <c r="AJ39" s="77">
        <v>46042</v>
      </c>
      <c r="AK39" s="78">
        <v>0.41666666666666669</v>
      </c>
      <c r="AL39" s="77">
        <v>46042</v>
      </c>
      <c r="AM39" s="78">
        <v>0.5</v>
      </c>
      <c r="AN39" s="14" t="s">
        <v>476</v>
      </c>
      <c r="AO39" s="14">
        <v>1.0416666666666666E-2</v>
      </c>
      <c r="AP39" s="4"/>
      <c r="AQ39" s="34" t="s">
        <v>102</v>
      </c>
      <c r="AR39" s="34"/>
      <c r="AS39" s="73">
        <v>3805</v>
      </c>
      <c r="AT39" s="34"/>
      <c r="AU39" s="34"/>
      <c r="AV39" s="34"/>
      <c r="AW39" s="34"/>
      <c r="AX39" s="4"/>
    </row>
    <row r="40" spans="1:50" x14ac:dyDescent="0.3">
      <c r="A40" s="75" t="s">
        <v>80</v>
      </c>
      <c r="B40" s="64" t="s">
        <v>307</v>
      </c>
      <c r="C40" s="65" t="s">
        <v>308</v>
      </c>
      <c r="D40" s="69" t="s">
        <v>83</v>
      </c>
      <c r="E40" s="63" t="s">
        <v>148</v>
      </c>
      <c r="F40" s="65" t="s">
        <v>207</v>
      </c>
      <c r="G40" s="68" t="s">
        <v>79</v>
      </c>
      <c r="H40" s="73"/>
      <c r="I40" s="73"/>
      <c r="J40" s="73"/>
      <c r="K40" s="73"/>
      <c r="L40" s="73"/>
      <c r="M40" s="73">
        <v>0</v>
      </c>
      <c r="N40" s="73">
        <v>0</v>
      </c>
      <c r="O40" s="73"/>
      <c r="P40" s="73"/>
      <c r="Q40" s="73"/>
      <c r="R40" s="73">
        <v>0</v>
      </c>
      <c r="S40" s="73"/>
      <c r="T40" s="73">
        <v>1500</v>
      </c>
      <c r="U40" s="73"/>
      <c r="V40" s="73"/>
      <c r="W40" s="73"/>
      <c r="X40" s="73"/>
      <c r="Y40" s="73">
        <v>1500</v>
      </c>
      <c r="Z40" s="73">
        <v>1500</v>
      </c>
      <c r="AA40" s="70">
        <v>46043</v>
      </c>
      <c r="AB40" s="71" t="s">
        <v>80</v>
      </c>
      <c r="AC40" s="72" t="s">
        <v>309</v>
      </c>
      <c r="AD40" s="73"/>
      <c r="AE40" s="69">
        <v>1500</v>
      </c>
      <c r="AF40" s="69">
        <f t="shared" si="0"/>
        <v>-206899.31000000003</v>
      </c>
      <c r="AG40" s="1">
        <v>50205020</v>
      </c>
      <c r="AH40" s="6"/>
      <c r="AI40" s="4"/>
      <c r="AJ40" s="77">
        <v>46042</v>
      </c>
      <c r="AK40" s="78">
        <v>0.60416666666666663</v>
      </c>
      <c r="AL40" s="77">
        <v>46043</v>
      </c>
      <c r="AM40" s="78">
        <v>0.57847222222222217</v>
      </c>
      <c r="AN40" s="14">
        <v>0.34930555555555554</v>
      </c>
      <c r="AO40" s="14">
        <v>8.7326388888888884E-2</v>
      </c>
      <c r="AP40" s="4" t="s">
        <v>310</v>
      </c>
      <c r="AQ40" s="34" t="s">
        <v>102</v>
      </c>
      <c r="AR40" s="34"/>
      <c r="AS40" s="73">
        <v>1500</v>
      </c>
      <c r="AT40" s="34"/>
      <c r="AU40" s="34"/>
      <c r="AV40" s="34"/>
      <c r="AW40" s="34"/>
      <c r="AX40" s="4"/>
    </row>
    <row r="41" spans="1:50" x14ac:dyDescent="0.3">
      <c r="A41" s="75" t="s">
        <v>80</v>
      </c>
      <c r="B41" s="64" t="s">
        <v>311</v>
      </c>
      <c r="C41" s="65" t="s">
        <v>312</v>
      </c>
      <c r="D41" s="69" t="s">
        <v>83</v>
      </c>
      <c r="E41" s="63" t="s">
        <v>84</v>
      </c>
      <c r="F41" s="65" t="s">
        <v>313</v>
      </c>
      <c r="G41" s="68" t="s">
        <v>79</v>
      </c>
      <c r="H41" s="73"/>
      <c r="I41" s="73">
        <v>33.909999999999997</v>
      </c>
      <c r="J41" s="73">
        <v>84.78</v>
      </c>
      <c r="K41" s="73"/>
      <c r="L41" s="73"/>
      <c r="M41" s="73">
        <v>0</v>
      </c>
      <c r="N41" s="73">
        <v>118.69</v>
      </c>
      <c r="O41" s="73"/>
      <c r="P41" s="73"/>
      <c r="Q41" s="73"/>
      <c r="R41" s="73">
        <v>118.69</v>
      </c>
      <c r="S41" s="73"/>
      <c r="T41" s="73">
        <v>1899</v>
      </c>
      <c r="U41" s="73"/>
      <c r="V41" s="73"/>
      <c r="W41" s="73"/>
      <c r="X41" s="73"/>
      <c r="Y41" s="73">
        <v>1899</v>
      </c>
      <c r="Z41" s="73">
        <v>1780.31</v>
      </c>
      <c r="AA41" s="70">
        <v>46043</v>
      </c>
      <c r="AB41" s="71" t="s">
        <v>80</v>
      </c>
      <c r="AC41" s="72" t="s">
        <v>314</v>
      </c>
      <c r="AD41" s="73"/>
      <c r="AE41" s="69">
        <v>1780.31</v>
      </c>
      <c r="AF41" s="69">
        <f t="shared" si="0"/>
        <v>-208679.62000000002</v>
      </c>
      <c r="AG41" s="1">
        <v>50205020</v>
      </c>
      <c r="AH41" s="6"/>
      <c r="AI41" s="4"/>
      <c r="AJ41" s="77">
        <v>46042</v>
      </c>
      <c r="AK41" s="78">
        <v>0.60416666666666663</v>
      </c>
      <c r="AL41" s="77">
        <v>46043</v>
      </c>
      <c r="AM41" s="78">
        <v>0.57847222222222217</v>
      </c>
      <c r="AN41" s="14">
        <v>0.34930555555555554</v>
      </c>
      <c r="AO41" s="14">
        <v>8.7326388888888884E-2</v>
      </c>
      <c r="AP41" s="4" t="s">
        <v>310</v>
      </c>
      <c r="AQ41" s="34" t="s">
        <v>87</v>
      </c>
      <c r="AR41" s="34"/>
      <c r="AS41" s="73">
        <v>1780.31</v>
      </c>
      <c r="AT41" s="34"/>
      <c r="AU41" s="34"/>
      <c r="AV41" s="34"/>
      <c r="AW41" s="34"/>
      <c r="AX41" s="4"/>
    </row>
    <row r="42" spans="1:50" x14ac:dyDescent="0.3">
      <c r="A42" s="75" t="s">
        <v>80</v>
      </c>
      <c r="B42" s="64" t="s">
        <v>315</v>
      </c>
      <c r="C42" s="75" t="s">
        <v>312</v>
      </c>
      <c r="D42" s="69" t="s">
        <v>83</v>
      </c>
      <c r="E42" s="63" t="s">
        <v>84</v>
      </c>
      <c r="F42" s="65" t="s">
        <v>316</v>
      </c>
      <c r="G42" s="68" t="s">
        <v>79</v>
      </c>
      <c r="H42" s="73"/>
      <c r="I42" s="73">
        <v>33.909999999999997</v>
      </c>
      <c r="J42" s="73">
        <v>84.78</v>
      </c>
      <c r="K42" s="73"/>
      <c r="L42" s="73"/>
      <c r="M42" s="73">
        <v>0</v>
      </c>
      <c r="N42" s="73">
        <v>118.69</v>
      </c>
      <c r="O42" s="73"/>
      <c r="P42" s="73"/>
      <c r="Q42" s="73"/>
      <c r="R42" s="73">
        <v>118.69</v>
      </c>
      <c r="S42" s="73"/>
      <c r="T42" s="73">
        <v>1899</v>
      </c>
      <c r="U42" s="73"/>
      <c r="V42" s="73"/>
      <c r="W42" s="73"/>
      <c r="X42" s="73"/>
      <c r="Y42" s="73">
        <v>1899</v>
      </c>
      <c r="Z42" s="73">
        <v>1780.31</v>
      </c>
      <c r="AA42" s="70">
        <v>46043</v>
      </c>
      <c r="AB42" s="71" t="s">
        <v>80</v>
      </c>
      <c r="AC42" s="72" t="s">
        <v>317</v>
      </c>
      <c r="AD42" s="73"/>
      <c r="AE42" s="69">
        <v>1780.31</v>
      </c>
      <c r="AF42" s="69">
        <f t="shared" si="0"/>
        <v>-210459.93000000002</v>
      </c>
      <c r="AG42" s="1">
        <v>50205020</v>
      </c>
      <c r="AH42" s="6"/>
      <c r="AI42" s="4"/>
      <c r="AJ42" s="77">
        <v>46042</v>
      </c>
      <c r="AK42" s="78">
        <v>0.60416666666666663</v>
      </c>
      <c r="AL42" s="77">
        <v>46043</v>
      </c>
      <c r="AM42" s="78">
        <v>0.57847222222222217</v>
      </c>
      <c r="AN42" s="14">
        <v>0.34930555555555554</v>
      </c>
      <c r="AO42" s="14">
        <v>8.7326388888888884E-2</v>
      </c>
      <c r="AP42" s="4" t="s">
        <v>310</v>
      </c>
      <c r="AQ42" s="34" t="s">
        <v>87</v>
      </c>
      <c r="AR42" s="34"/>
      <c r="AS42" s="73">
        <v>1780.31</v>
      </c>
      <c r="AT42" s="34"/>
      <c r="AU42" s="34"/>
      <c r="AV42" s="34"/>
      <c r="AW42" s="34"/>
      <c r="AX42" s="4"/>
    </row>
    <row r="43" spans="1:50" x14ac:dyDescent="0.3">
      <c r="A43" s="75" t="s">
        <v>80</v>
      </c>
      <c r="B43" s="64" t="s">
        <v>318</v>
      </c>
      <c r="C43" s="65" t="s">
        <v>312</v>
      </c>
      <c r="D43" s="69" t="s">
        <v>83</v>
      </c>
      <c r="E43" s="63" t="s">
        <v>84</v>
      </c>
      <c r="F43" s="65" t="s">
        <v>319</v>
      </c>
      <c r="G43" s="68" t="s">
        <v>79</v>
      </c>
      <c r="H43" s="73"/>
      <c r="I43" s="73">
        <v>33.909999999999997</v>
      </c>
      <c r="J43" s="73">
        <v>84.78</v>
      </c>
      <c r="K43" s="73"/>
      <c r="L43" s="73"/>
      <c r="M43" s="73">
        <v>0</v>
      </c>
      <c r="N43" s="73">
        <v>118.69</v>
      </c>
      <c r="O43" s="73"/>
      <c r="P43" s="73"/>
      <c r="Q43" s="73"/>
      <c r="R43" s="73">
        <v>118.69</v>
      </c>
      <c r="S43" s="73"/>
      <c r="T43" s="73">
        <v>1899</v>
      </c>
      <c r="U43" s="73"/>
      <c r="V43" s="73"/>
      <c r="W43" s="73"/>
      <c r="X43" s="73"/>
      <c r="Y43" s="73">
        <v>1899</v>
      </c>
      <c r="Z43" s="73">
        <v>1780.31</v>
      </c>
      <c r="AA43" s="70">
        <v>46043</v>
      </c>
      <c r="AB43" s="71" t="s">
        <v>80</v>
      </c>
      <c r="AC43" s="72" t="s">
        <v>320</v>
      </c>
      <c r="AD43" s="73"/>
      <c r="AE43" s="69">
        <v>1780.31</v>
      </c>
      <c r="AF43" s="69">
        <f t="shared" si="0"/>
        <v>-212240.24000000002</v>
      </c>
      <c r="AG43" s="1">
        <v>50205020</v>
      </c>
      <c r="AH43" s="6"/>
      <c r="AI43" s="4"/>
      <c r="AJ43" s="77">
        <v>46042</v>
      </c>
      <c r="AK43" s="78">
        <v>0.60416666666666663</v>
      </c>
      <c r="AL43" s="77">
        <v>46043</v>
      </c>
      <c r="AM43" s="78">
        <v>0.57847222222222217</v>
      </c>
      <c r="AN43" s="14">
        <v>0.34930555555555554</v>
      </c>
      <c r="AO43" s="14">
        <v>8.7326388888888884E-2</v>
      </c>
      <c r="AP43" s="4" t="s">
        <v>310</v>
      </c>
      <c r="AQ43" s="34" t="s">
        <v>87</v>
      </c>
      <c r="AR43" s="34"/>
      <c r="AS43" s="73">
        <v>1780.31</v>
      </c>
      <c r="AT43" s="34"/>
      <c r="AU43" s="34"/>
      <c r="AV43" s="34"/>
      <c r="AW43" s="34"/>
      <c r="AX43" s="4"/>
    </row>
    <row r="44" spans="1:50" x14ac:dyDescent="0.3">
      <c r="A44" s="75" t="s">
        <v>80</v>
      </c>
      <c r="B44" s="64" t="s">
        <v>325</v>
      </c>
      <c r="C44" s="65" t="s">
        <v>312</v>
      </c>
      <c r="D44" s="69" t="s">
        <v>83</v>
      </c>
      <c r="E44" s="63" t="s">
        <v>99</v>
      </c>
      <c r="F44" s="65" t="s">
        <v>326</v>
      </c>
      <c r="G44" s="68" t="s">
        <v>79</v>
      </c>
      <c r="H44" s="73"/>
      <c r="I44" s="73">
        <v>33.909999999999997</v>
      </c>
      <c r="J44" s="73">
        <v>84.78</v>
      </c>
      <c r="K44" s="73"/>
      <c r="L44" s="73"/>
      <c r="M44" s="73">
        <v>0</v>
      </c>
      <c r="N44" s="73">
        <v>118.69</v>
      </c>
      <c r="O44" s="73"/>
      <c r="P44" s="73"/>
      <c r="Q44" s="73"/>
      <c r="R44" s="73">
        <v>118.69</v>
      </c>
      <c r="S44" s="73"/>
      <c r="T44" s="73">
        <v>1899</v>
      </c>
      <c r="U44" s="73"/>
      <c r="V44" s="73"/>
      <c r="W44" s="73"/>
      <c r="X44" s="73"/>
      <c r="Y44" s="73">
        <v>1899</v>
      </c>
      <c r="Z44" s="73">
        <v>1780.31</v>
      </c>
      <c r="AA44" s="70">
        <v>46044</v>
      </c>
      <c r="AB44" s="71" t="s">
        <v>80</v>
      </c>
      <c r="AC44" s="72" t="s">
        <v>327</v>
      </c>
      <c r="AD44" s="73"/>
      <c r="AE44" s="69">
        <v>1780.31</v>
      </c>
      <c r="AF44" s="69">
        <f t="shared" si="0"/>
        <v>-214020.55000000002</v>
      </c>
      <c r="AG44" s="1">
        <v>50205020</v>
      </c>
      <c r="AH44" s="6"/>
      <c r="AI44" s="4"/>
      <c r="AJ44" s="77">
        <v>46044</v>
      </c>
      <c r="AK44" s="78">
        <v>0.5708333333333333</v>
      </c>
      <c r="AL44" s="77">
        <v>46044</v>
      </c>
      <c r="AM44" s="78">
        <v>0.62152777777777779</v>
      </c>
      <c r="AN44" s="14" t="s">
        <v>477</v>
      </c>
      <c r="AO44" s="14">
        <v>1.6898148148148148E-2</v>
      </c>
      <c r="AP44" s="4"/>
      <c r="AQ44" s="34" t="s">
        <v>87</v>
      </c>
      <c r="AR44" s="34"/>
      <c r="AS44" s="73">
        <v>1780.31</v>
      </c>
      <c r="AT44" s="34"/>
      <c r="AU44" s="34"/>
      <c r="AV44" s="34"/>
      <c r="AW44" s="34"/>
      <c r="AX44" s="4"/>
    </row>
    <row r="45" spans="1:50" x14ac:dyDescent="0.3">
      <c r="A45" s="75" t="s">
        <v>80</v>
      </c>
      <c r="B45" s="64" t="s">
        <v>332</v>
      </c>
      <c r="C45" s="65" t="s">
        <v>82</v>
      </c>
      <c r="D45" s="69" t="s">
        <v>83</v>
      </c>
      <c r="E45" s="63" t="s">
        <v>84</v>
      </c>
      <c r="F45" s="65" t="s">
        <v>333</v>
      </c>
      <c r="G45" s="68" t="s">
        <v>79</v>
      </c>
      <c r="H45" s="73"/>
      <c r="I45" s="73"/>
      <c r="J45" s="73">
        <v>3188.01</v>
      </c>
      <c r="K45" s="73"/>
      <c r="L45" s="73"/>
      <c r="M45" s="73">
        <v>0</v>
      </c>
      <c r="N45" s="73">
        <v>3188.01</v>
      </c>
      <c r="O45" s="73"/>
      <c r="P45" s="73"/>
      <c r="Q45" s="73"/>
      <c r="R45" s="73">
        <v>3188.01</v>
      </c>
      <c r="S45" s="73"/>
      <c r="T45" s="73">
        <v>116123.08</v>
      </c>
      <c r="U45" s="73"/>
      <c r="V45" s="73"/>
      <c r="W45" s="73"/>
      <c r="X45" s="73"/>
      <c r="Y45" s="73">
        <v>116123.08</v>
      </c>
      <c r="Z45" s="73">
        <v>112935.07</v>
      </c>
      <c r="AA45" s="70">
        <v>46049</v>
      </c>
      <c r="AB45" s="71" t="s">
        <v>80</v>
      </c>
      <c r="AC45" s="72" t="s">
        <v>334</v>
      </c>
      <c r="AD45" s="73"/>
      <c r="AE45" s="69">
        <v>112935.07</v>
      </c>
      <c r="AF45" s="69">
        <f t="shared" si="0"/>
        <v>-326955.62</v>
      </c>
      <c r="AG45" s="1">
        <v>50204020</v>
      </c>
      <c r="AH45" s="6"/>
      <c r="AI45" s="4"/>
      <c r="AJ45" s="77">
        <v>46049</v>
      </c>
      <c r="AK45" s="78">
        <v>0.43402777777777773</v>
      </c>
      <c r="AL45" s="77">
        <v>46049</v>
      </c>
      <c r="AM45" s="78">
        <v>0.57430555555555551</v>
      </c>
      <c r="AN45" s="14" t="s">
        <v>478</v>
      </c>
      <c r="AO45" s="14">
        <v>2.4652777777777777E-2</v>
      </c>
      <c r="AP45" s="4"/>
      <c r="AQ45" s="34" t="s">
        <v>87</v>
      </c>
      <c r="AR45" s="34"/>
      <c r="AS45" s="73">
        <v>112935.07</v>
      </c>
      <c r="AT45" s="34"/>
      <c r="AU45" s="34"/>
      <c r="AV45" s="34"/>
      <c r="AW45" s="34"/>
      <c r="AX45" s="4"/>
    </row>
    <row r="46" spans="1:50" x14ac:dyDescent="0.3">
      <c r="A46" s="75" t="s">
        <v>80</v>
      </c>
      <c r="B46" s="64" t="s">
        <v>335</v>
      </c>
      <c r="C46" s="65" t="s">
        <v>258</v>
      </c>
      <c r="D46" s="69" t="s">
        <v>83</v>
      </c>
      <c r="E46" s="63" t="s">
        <v>84</v>
      </c>
      <c r="F46" s="65" t="s">
        <v>207</v>
      </c>
      <c r="G46" s="68" t="s">
        <v>79</v>
      </c>
      <c r="H46" s="73"/>
      <c r="I46" s="73"/>
      <c r="J46" s="73"/>
      <c r="K46" s="73"/>
      <c r="L46" s="73"/>
      <c r="M46" s="73">
        <v>0</v>
      </c>
      <c r="N46" s="73">
        <v>0</v>
      </c>
      <c r="O46" s="73"/>
      <c r="P46" s="73"/>
      <c r="Q46" s="73"/>
      <c r="R46" s="73">
        <v>0</v>
      </c>
      <c r="S46" s="73"/>
      <c r="T46" s="73">
        <v>600</v>
      </c>
      <c r="U46" s="73"/>
      <c r="V46" s="73"/>
      <c r="W46" s="73"/>
      <c r="X46" s="73"/>
      <c r="Y46" s="73">
        <v>600</v>
      </c>
      <c r="Z46" s="73">
        <v>600</v>
      </c>
      <c r="AA46" s="70">
        <v>46049</v>
      </c>
      <c r="AB46" s="71" t="s">
        <v>80</v>
      </c>
      <c r="AC46" s="72" t="s">
        <v>336</v>
      </c>
      <c r="AD46" s="73"/>
      <c r="AE46" s="69">
        <v>600</v>
      </c>
      <c r="AF46" s="69">
        <f t="shared" si="0"/>
        <v>-327555.62</v>
      </c>
      <c r="AG46" s="1">
        <v>50205020</v>
      </c>
      <c r="AH46" s="6"/>
      <c r="AI46" s="4"/>
      <c r="AJ46" s="77">
        <v>46049</v>
      </c>
      <c r="AK46" s="78">
        <v>0.43402777777777773</v>
      </c>
      <c r="AL46" s="77">
        <v>46049</v>
      </c>
      <c r="AM46" s="78">
        <v>0.57430555555555551</v>
      </c>
      <c r="AN46" s="14" t="s">
        <v>478</v>
      </c>
      <c r="AO46" s="14">
        <v>2.4652777777777777E-2</v>
      </c>
      <c r="AP46" s="4"/>
      <c r="AQ46" s="34" t="s">
        <v>102</v>
      </c>
      <c r="AR46" s="34"/>
      <c r="AS46" s="73">
        <v>600</v>
      </c>
      <c r="AT46" s="34"/>
      <c r="AU46" s="34"/>
      <c r="AV46" s="34"/>
      <c r="AW46" s="34"/>
      <c r="AX46" s="4"/>
    </row>
    <row r="47" spans="1:50" x14ac:dyDescent="0.3">
      <c r="A47" s="75" t="s">
        <v>80</v>
      </c>
      <c r="B47" s="64" t="s">
        <v>337</v>
      </c>
      <c r="C47" s="65" t="s">
        <v>338</v>
      </c>
      <c r="D47" s="69" t="s">
        <v>83</v>
      </c>
      <c r="E47" s="63" t="s">
        <v>84</v>
      </c>
      <c r="F47" s="65" t="s">
        <v>339</v>
      </c>
      <c r="G47" s="68" t="s">
        <v>79</v>
      </c>
      <c r="H47" s="73"/>
      <c r="I47" s="73"/>
      <c r="J47" s="73"/>
      <c r="K47" s="73"/>
      <c r="L47" s="73"/>
      <c r="M47" s="73">
        <v>0</v>
      </c>
      <c r="N47" s="73">
        <v>0</v>
      </c>
      <c r="O47" s="73"/>
      <c r="P47" s="73"/>
      <c r="Q47" s="73"/>
      <c r="R47" s="73">
        <v>0</v>
      </c>
      <c r="S47" s="73"/>
      <c r="T47" s="73">
        <v>2570</v>
      </c>
      <c r="U47" s="73"/>
      <c r="V47" s="73"/>
      <c r="W47" s="73"/>
      <c r="X47" s="73"/>
      <c r="Y47" s="73">
        <v>2570</v>
      </c>
      <c r="Z47" s="73">
        <v>2570</v>
      </c>
      <c r="AA47" s="70">
        <v>46049</v>
      </c>
      <c r="AB47" s="71" t="s">
        <v>80</v>
      </c>
      <c r="AC47" s="72" t="s">
        <v>340</v>
      </c>
      <c r="AD47" s="73"/>
      <c r="AE47" s="69">
        <v>2570</v>
      </c>
      <c r="AF47" s="69">
        <f t="shared" si="0"/>
        <v>-330125.62</v>
      </c>
      <c r="AG47" s="1">
        <v>50215010</v>
      </c>
      <c r="AH47" s="6"/>
      <c r="AI47" s="4"/>
      <c r="AJ47" s="77">
        <v>46049</v>
      </c>
      <c r="AK47" s="78">
        <v>0.43402777777777773</v>
      </c>
      <c r="AL47" s="77">
        <v>46049</v>
      </c>
      <c r="AM47" s="78">
        <v>0.57430555555555551</v>
      </c>
      <c r="AN47" s="14" t="s">
        <v>478</v>
      </c>
      <c r="AO47" s="14">
        <v>2.4652777777777777E-2</v>
      </c>
      <c r="AP47" s="4"/>
      <c r="AQ47" s="34" t="s">
        <v>87</v>
      </c>
      <c r="AR47" s="34"/>
      <c r="AS47" s="73">
        <v>2570</v>
      </c>
      <c r="AT47" s="34"/>
      <c r="AU47" s="34"/>
      <c r="AV47" s="34"/>
      <c r="AW47" s="34"/>
      <c r="AX47" s="4"/>
    </row>
    <row r="48" spans="1:50" x14ac:dyDescent="0.3">
      <c r="A48" s="75" t="s">
        <v>80</v>
      </c>
      <c r="B48" s="64" t="s">
        <v>341</v>
      </c>
      <c r="C48" s="65" t="s">
        <v>270</v>
      </c>
      <c r="D48" s="69" t="s">
        <v>83</v>
      </c>
      <c r="E48" s="63" t="s">
        <v>105</v>
      </c>
      <c r="F48" s="65" t="s">
        <v>271</v>
      </c>
      <c r="G48" s="68" t="s">
        <v>79</v>
      </c>
      <c r="H48" s="73"/>
      <c r="I48" s="73"/>
      <c r="J48" s="73"/>
      <c r="K48" s="73"/>
      <c r="L48" s="73"/>
      <c r="M48" s="73">
        <v>0</v>
      </c>
      <c r="N48" s="73">
        <v>0</v>
      </c>
      <c r="O48" s="73"/>
      <c r="P48" s="73"/>
      <c r="Q48" s="73"/>
      <c r="R48" s="73">
        <v>0</v>
      </c>
      <c r="S48" s="73"/>
      <c r="T48" s="73">
        <v>2761.25</v>
      </c>
      <c r="U48" s="73"/>
      <c r="V48" s="73"/>
      <c r="W48" s="73"/>
      <c r="X48" s="73"/>
      <c r="Y48" s="73">
        <v>2761.25</v>
      </c>
      <c r="Z48" s="73">
        <v>2761.25</v>
      </c>
      <c r="AA48" s="70">
        <v>46049</v>
      </c>
      <c r="AB48" s="71" t="s">
        <v>80</v>
      </c>
      <c r="AC48" s="72" t="s">
        <v>342</v>
      </c>
      <c r="AD48" s="73"/>
      <c r="AE48" s="69">
        <v>2761.25</v>
      </c>
      <c r="AF48" s="69">
        <f t="shared" si="0"/>
        <v>-332886.87</v>
      </c>
      <c r="AG48" s="1"/>
      <c r="AH48" s="6"/>
      <c r="AI48" s="4"/>
      <c r="AJ48" s="77">
        <v>46049</v>
      </c>
      <c r="AK48" s="78">
        <v>0.43402777777777773</v>
      </c>
      <c r="AL48" s="77">
        <v>46049</v>
      </c>
      <c r="AM48" s="78">
        <v>0.57430555555555551</v>
      </c>
      <c r="AN48" s="14" t="s">
        <v>478</v>
      </c>
      <c r="AO48" s="14">
        <v>2.4652777777777777E-2</v>
      </c>
      <c r="AP48" s="4"/>
      <c r="AQ48" s="34" t="s">
        <v>102</v>
      </c>
      <c r="AR48" s="34"/>
      <c r="AS48" s="73">
        <v>2761.25</v>
      </c>
      <c r="AT48" s="34"/>
      <c r="AU48" s="34"/>
      <c r="AV48" s="34"/>
      <c r="AW48" s="34"/>
      <c r="AX48" s="4"/>
    </row>
    <row r="49" spans="1:50" x14ac:dyDescent="0.3">
      <c r="A49" s="75" t="s">
        <v>80</v>
      </c>
      <c r="B49" s="64" t="s">
        <v>343</v>
      </c>
      <c r="C49" s="65" t="s">
        <v>344</v>
      </c>
      <c r="D49" s="69" t="s">
        <v>83</v>
      </c>
      <c r="E49" s="63" t="s">
        <v>154</v>
      </c>
      <c r="F49" s="65" t="s">
        <v>345</v>
      </c>
      <c r="G49" s="68" t="s">
        <v>79</v>
      </c>
      <c r="H49" s="73"/>
      <c r="I49" s="73">
        <v>1400</v>
      </c>
      <c r="J49" s="73"/>
      <c r="K49" s="73">
        <v>840</v>
      </c>
      <c r="L49" s="73"/>
      <c r="M49" s="73">
        <v>0</v>
      </c>
      <c r="N49" s="73">
        <v>2240</v>
      </c>
      <c r="O49" s="73"/>
      <c r="P49" s="73"/>
      <c r="Q49" s="73"/>
      <c r="R49" s="73">
        <v>2240</v>
      </c>
      <c r="S49" s="73"/>
      <c r="T49" s="73">
        <v>28000</v>
      </c>
      <c r="U49" s="73"/>
      <c r="V49" s="73"/>
      <c r="W49" s="73"/>
      <c r="X49" s="73"/>
      <c r="Y49" s="73">
        <v>28000</v>
      </c>
      <c r="Z49" s="73">
        <v>25760</v>
      </c>
      <c r="AA49" s="70">
        <v>46050</v>
      </c>
      <c r="AB49" s="71" t="s">
        <v>80</v>
      </c>
      <c r="AC49" s="72" t="s">
        <v>346</v>
      </c>
      <c r="AD49" s="73"/>
      <c r="AE49" s="69">
        <v>25760</v>
      </c>
      <c r="AF49" s="69">
        <f t="shared" si="0"/>
        <v>-358646.87</v>
      </c>
      <c r="AG49" s="1">
        <v>50299050</v>
      </c>
      <c r="AH49" s="6"/>
      <c r="AI49" s="4"/>
      <c r="AJ49" s="77">
        <v>46050</v>
      </c>
      <c r="AK49" s="78">
        <v>0.44097222222222227</v>
      </c>
      <c r="AL49" s="77">
        <v>46050</v>
      </c>
      <c r="AM49" s="78">
        <v>0.61111111111111105</v>
      </c>
      <c r="AN49" s="14" t="s">
        <v>479</v>
      </c>
      <c r="AO49" s="14">
        <v>1.83531746031746E-2</v>
      </c>
      <c r="AP49" s="4"/>
      <c r="AQ49" s="34" t="s">
        <v>102</v>
      </c>
      <c r="AR49" s="34"/>
      <c r="AS49" s="73">
        <v>25760</v>
      </c>
      <c r="AT49" s="34"/>
      <c r="AU49" s="34"/>
      <c r="AV49" s="34"/>
      <c r="AW49" s="34"/>
      <c r="AX49" s="4"/>
    </row>
    <row r="50" spans="1:50" x14ac:dyDescent="0.3">
      <c r="A50" s="75" t="s">
        <v>80</v>
      </c>
      <c r="B50" s="64" t="s">
        <v>352</v>
      </c>
      <c r="C50" s="65" t="s">
        <v>203</v>
      </c>
      <c r="D50" s="69" t="s">
        <v>83</v>
      </c>
      <c r="E50" s="63" t="s">
        <v>154</v>
      </c>
      <c r="F50" s="65" t="s">
        <v>353</v>
      </c>
      <c r="G50" s="68" t="s">
        <v>79</v>
      </c>
      <c r="H50" s="73"/>
      <c r="I50" s="73"/>
      <c r="J50" s="73"/>
      <c r="K50" s="73"/>
      <c r="L50" s="73"/>
      <c r="M50" s="73">
        <v>0</v>
      </c>
      <c r="N50" s="73">
        <v>0</v>
      </c>
      <c r="O50" s="73"/>
      <c r="P50" s="73"/>
      <c r="Q50" s="73"/>
      <c r="R50" s="73">
        <v>0</v>
      </c>
      <c r="S50" s="73"/>
      <c r="T50" s="73">
        <v>4450</v>
      </c>
      <c r="U50" s="73"/>
      <c r="V50" s="73"/>
      <c r="W50" s="73"/>
      <c r="X50" s="73"/>
      <c r="Y50" s="73">
        <v>4450</v>
      </c>
      <c r="Z50" s="73">
        <v>4450</v>
      </c>
      <c r="AA50" s="70">
        <v>46050</v>
      </c>
      <c r="AB50" s="71" t="s">
        <v>80</v>
      </c>
      <c r="AC50" s="72" t="s">
        <v>354</v>
      </c>
      <c r="AD50" s="73"/>
      <c r="AE50" s="69">
        <v>4450</v>
      </c>
      <c r="AF50" s="69">
        <f t="shared" si="0"/>
        <v>-363096.87</v>
      </c>
      <c r="AG50" s="1">
        <v>50201010</v>
      </c>
      <c r="AH50" s="6"/>
      <c r="AI50" s="4"/>
      <c r="AJ50" s="77">
        <v>46050</v>
      </c>
      <c r="AK50" s="78">
        <v>0.44097222222222227</v>
      </c>
      <c r="AL50" s="77">
        <v>46050</v>
      </c>
      <c r="AM50" s="78">
        <v>0.61111111111111105</v>
      </c>
      <c r="AN50" s="14" t="s">
        <v>479</v>
      </c>
      <c r="AO50" s="14">
        <v>1.83531746031746E-2</v>
      </c>
      <c r="AP50" s="4"/>
      <c r="AQ50" s="34" t="s">
        <v>102</v>
      </c>
      <c r="AR50" s="34"/>
      <c r="AS50" s="73">
        <v>4450</v>
      </c>
      <c r="AT50" s="34"/>
      <c r="AU50" s="34"/>
      <c r="AV50" s="34"/>
      <c r="AW50" s="34"/>
      <c r="AX50" s="4"/>
    </row>
    <row r="51" spans="1:50" x14ac:dyDescent="0.3">
      <c r="A51" s="75" t="s">
        <v>80</v>
      </c>
      <c r="B51" s="64" t="s">
        <v>364</v>
      </c>
      <c r="C51" s="65" t="s">
        <v>140</v>
      </c>
      <c r="D51" s="69" t="s">
        <v>83</v>
      </c>
      <c r="E51" s="63" t="s">
        <v>143</v>
      </c>
      <c r="F51" s="65" t="s">
        <v>365</v>
      </c>
      <c r="G51" s="68" t="s">
        <v>79</v>
      </c>
      <c r="H51" s="73"/>
      <c r="I51" s="73"/>
      <c r="J51" s="73"/>
      <c r="K51" s="73"/>
      <c r="L51" s="73"/>
      <c r="M51" s="73">
        <v>0</v>
      </c>
      <c r="N51" s="73">
        <v>0</v>
      </c>
      <c r="O51" s="73"/>
      <c r="P51" s="73"/>
      <c r="Q51" s="73"/>
      <c r="R51" s="73">
        <v>0</v>
      </c>
      <c r="S51" s="73"/>
      <c r="T51" s="73">
        <v>112106.05</v>
      </c>
      <c r="U51" s="73"/>
      <c r="V51" s="73"/>
      <c r="W51" s="73"/>
      <c r="X51" s="73"/>
      <c r="Y51" s="97">
        <v>112106.05</v>
      </c>
      <c r="Z51" s="73">
        <v>112106.05</v>
      </c>
      <c r="AA51" s="70">
        <v>46050</v>
      </c>
      <c r="AB51" s="71" t="s">
        <v>80</v>
      </c>
      <c r="AC51" s="72" t="s">
        <v>366</v>
      </c>
      <c r="AD51" s="73"/>
      <c r="AE51" s="69">
        <v>112106.05</v>
      </c>
      <c r="AF51" s="69">
        <f t="shared" si="0"/>
        <v>-475202.92</v>
      </c>
      <c r="AG51" s="1">
        <v>50211990</v>
      </c>
      <c r="AH51" s="6"/>
      <c r="AI51" s="4"/>
      <c r="AJ51" s="77">
        <v>46050</v>
      </c>
      <c r="AK51" s="78">
        <v>0.44097222222222227</v>
      </c>
      <c r="AL51" s="77">
        <v>46050</v>
      </c>
      <c r="AM51" s="78">
        <v>0.61111111111111105</v>
      </c>
      <c r="AN51" s="14" t="s">
        <v>479</v>
      </c>
      <c r="AO51" s="14">
        <v>1.83531746031746E-2</v>
      </c>
      <c r="AP51" s="4"/>
      <c r="AQ51" s="34" t="s">
        <v>102</v>
      </c>
      <c r="AR51" s="34"/>
      <c r="AS51" s="73">
        <v>112106.05</v>
      </c>
      <c r="AT51" s="34"/>
      <c r="AU51" s="34"/>
      <c r="AV51" s="34"/>
      <c r="AW51" s="34"/>
      <c r="AX51" s="4"/>
    </row>
    <row r="52" spans="1:50" x14ac:dyDescent="0.3">
      <c r="A52" s="147"/>
      <c r="B52" s="147"/>
      <c r="C52" s="147"/>
      <c r="D52" s="147"/>
      <c r="E52" s="147"/>
      <c r="F52" s="147"/>
      <c r="G52" s="147"/>
      <c r="H52" s="147"/>
      <c r="I52" s="147"/>
      <c r="J52" s="147"/>
      <c r="K52" s="147"/>
      <c r="L52" s="147"/>
      <c r="M52" s="147"/>
      <c r="N52" s="147"/>
      <c r="O52" s="147"/>
      <c r="P52" s="147"/>
      <c r="Q52" s="147"/>
      <c r="R52" s="147"/>
      <c r="S52" s="147"/>
      <c r="T52" s="147"/>
      <c r="U52" s="147"/>
      <c r="V52" s="147"/>
      <c r="W52" s="147"/>
      <c r="X52" s="147"/>
      <c r="Y52" s="147"/>
      <c r="Z52" s="147"/>
      <c r="AA52" s="147"/>
      <c r="AB52" s="147"/>
      <c r="AC52" s="147"/>
      <c r="AD52" s="147"/>
      <c r="AE52" s="147"/>
      <c r="AF52" s="69">
        <f t="shared" si="0"/>
        <v>-475202.92</v>
      </c>
    </row>
    <row r="53" spans="1:50" x14ac:dyDescent="0.3">
      <c r="A53" s="147"/>
      <c r="B53" s="147"/>
      <c r="C53" s="147"/>
      <c r="D53" s="147"/>
      <c r="E53" s="148">
        <f>SUM(E14:E51)</f>
        <v>0</v>
      </c>
      <c r="F53" s="147"/>
      <c r="G53" s="147"/>
      <c r="H53" s="148">
        <f t="shared" ref="H53:Z53" si="1">SUM(H14:H51)</f>
        <v>0</v>
      </c>
      <c r="I53" s="148">
        <f t="shared" si="1"/>
        <v>2491.27</v>
      </c>
      <c r="J53" s="148">
        <f t="shared" si="1"/>
        <v>8536.64</v>
      </c>
      <c r="K53" s="148">
        <f t="shared" si="1"/>
        <v>912</v>
      </c>
      <c r="L53" s="148">
        <f t="shared" si="1"/>
        <v>0</v>
      </c>
      <c r="M53" s="148">
        <f t="shared" si="1"/>
        <v>0</v>
      </c>
      <c r="N53" s="148">
        <f t="shared" si="1"/>
        <v>11939.91</v>
      </c>
      <c r="O53" s="148">
        <f t="shared" si="1"/>
        <v>0</v>
      </c>
      <c r="P53" s="148">
        <f t="shared" si="1"/>
        <v>0</v>
      </c>
      <c r="Q53" s="148">
        <f t="shared" si="1"/>
        <v>0</v>
      </c>
      <c r="R53" s="148">
        <f t="shared" si="1"/>
        <v>11939.91</v>
      </c>
      <c r="S53" s="148">
        <f t="shared" si="1"/>
        <v>0</v>
      </c>
      <c r="T53" s="148">
        <f t="shared" si="1"/>
        <v>487142.83</v>
      </c>
      <c r="U53" s="148">
        <f t="shared" si="1"/>
        <v>0</v>
      </c>
      <c r="V53" s="148">
        <f t="shared" si="1"/>
        <v>0</v>
      </c>
      <c r="W53" s="148">
        <f t="shared" si="1"/>
        <v>0</v>
      </c>
      <c r="X53" s="148">
        <f t="shared" si="1"/>
        <v>0</v>
      </c>
      <c r="Y53" s="148">
        <f t="shared" si="1"/>
        <v>487142.83</v>
      </c>
      <c r="Z53" s="148">
        <f t="shared" si="1"/>
        <v>475202.92</v>
      </c>
      <c r="AA53" s="147"/>
      <c r="AB53" s="147"/>
      <c r="AC53" s="147"/>
      <c r="AD53" s="147"/>
      <c r="AE53" s="147"/>
      <c r="AF53" s="69">
        <f t="shared" si="0"/>
        <v>-475202.92</v>
      </c>
    </row>
    <row r="54" spans="1:50" x14ac:dyDescent="0.3">
      <c r="A54" s="147"/>
      <c r="B54" s="147"/>
      <c r="C54" s="147"/>
      <c r="D54" s="147"/>
      <c r="E54" s="149">
        <f>E53+Z53</f>
        <v>475202.92</v>
      </c>
      <c r="F54" s="147"/>
      <c r="G54" s="147"/>
      <c r="H54" s="147"/>
      <c r="I54" s="147"/>
      <c r="J54" s="147"/>
      <c r="K54" s="147"/>
      <c r="L54" s="147"/>
      <c r="M54" s="147"/>
      <c r="N54" s="147"/>
      <c r="O54" s="147"/>
      <c r="P54" s="147"/>
      <c r="Q54" s="147"/>
      <c r="R54" s="147"/>
      <c r="S54" s="147"/>
      <c r="T54" s="147"/>
      <c r="U54" s="147"/>
      <c r="V54" s="147"/>
      <c r="W54" s="147"/>
      <c r="X54" s="147"/>
      <c r="Y54" s="147"/>
      <c r="Z54" s="147"/>
      <c r="AA54" s="147"/>
      <c r="AB54" s="147"/>
      <c r="AC54" s="147"/>
      <c r="AD54" s="147"/>
      <c r="AE54" s="147"/>
      <c r="AF54" s="69">
        <f t="shared" si="0"/>
        <v>-475202.92</v>
      </c>
    </row>
    <row r="55" spans="1:50" x14ac:dyDescent="0.3">
      <c r="A55" s="147"/>
      <c r="B55" s="147"/>
      <c r="C55" s="150" t="s">
        <v>379</v>
      </c>
      <c r="D55" s="147"/>
      <c r="E55" s="147"/>
      <c r="F55" s="147"/>
      <c r="G55" s="147"/>
      <c r="H55" s="147"/>
      <c r="I55" s="147"/>
      <c r="J55" s="147"/>
      <c r="K55" s="147"/>
      <c r="L55" s="147"/>
      <c r="M55" s="147"/>
      <c r="N55" s="147"/>
      <c r="O55" s="147"/>
      <c r="P55" s="147"/>
      <c r="Q55" s="147"/>
      <c r="R55" s="147"/>
      <c r="S55" s="147"/>
      <c r="T55" s="147"/>
      <c r="U55" s="147"/>
      <c r="V55" s="147"/>
      <c r="W55" s="147"/>
      <c r="X55" s="147"/>
      <c r="Y55" s="147"/>
      <c r="Z55" s="147"/>
      <c r="AA55" s="147"/>
      <c r="AB55" s="147"/>
      <c r="AC55" s="147"/>
      <c r="AD55" s="147"/>
      <c r="AE55" s="147"/>
      <c r="AF55" s="69">
        <f t="shared" si="0"/>
        <v>-475202.92</v>
      </c>
    </row>
    <row r="56" spans="1:50" x14ac:dyDescent="0.3">
      <c r="A56" s="147"/>
      <c r="B56" s="147"/>
      <c r="C56" s="147"/>
      <c r="D56" s="147"/>
      <c r="E56" s="147"/>
      <c r="F56" s="147"/>
      <c r="G56" s="147"/>
      <c r="H56" s="147"/>
      <c r="I56" s="147"/>
      <c r="J56" s="147"/>
      <c r="K56" s="147"/>
      <c r="L56" s="147"/>
      <c r="M56" s="147"/>
      <c r="N56" s="147"/>
      <c r="O56" s="147"/>
      <c r="P56" s="147"/>
      <c r="Q56" s="147"/>
      <c r="R56" s="147"/>
      <c r="S56" s="147"/>
      <c r="T56" s="147"/>
      <c r="U56" s="147"/>
      <c r="V56" s="147"/>
      <c r="W56" s="147"/>
      <c r="X56" s="147"/>
      <c r="Y56" s="147"/>
      <c r="Z56" s="147"/>
      <c r="AA56" s="147"/>
      <c r="AB56" s="147"/>
      <c r="AC56" s="147"/>
      <c r="AD56" s="147"/>
      <c r="AE56" s="147"/>
      <c r="AF56" s="69">
        <f t="shared" si="0"/>
        <v>-475202.92</v>
      </c>
    </row>
    <row r="57" spans="1:50" x14ac:dyDescent="0.3">
      <c r="A57" s="103" t="s">
        <v>80</v>
      </c>
      <c r="B57" s="104" t="s">
        <v>382</v>
      </c>
      <c r="C57" s="105" t="s">
        <v>383</v>
      </c>
      <c r="D57" s="7" t="s">
        <v>83</v>
      </c>
      <c r="E57" s="151" t="s">
        <v>84</v>
      </c>
      <c r="F57" s="105" t="s">
        <v>385</v>
      </c>
      <c r="G57" s="107" t="s">
        <v>386</v>
      </c>
      <c r="H57" s="106"/>
      <c r="I57" s="106">
        <v>285.98</v>
      </c>
      <c r="J57" s="106">
        <v>1011.16</v>
      </c>
      <c r="K57" s="106"/>
      <c r="L57" s="106"/>
      <c r="M57" s="106">
        <v>0</v>
      </c>
      <c r="N57" s="106">
        <v>1297.1399999999999</v>
      </c>
      <c r="O57" s="106"/>
      <c r="P57" s="106"/>
      <c r="Q57" s="106"/>
      <c r="R57" s="106">
        <v>1297.1399999999999</v>
      </c>
      <c r="S57" s="106"/>
      <c r="T57" s="106">
        <v>22650</v>
      </c>
      <c r="U57" s="106"/>
      <c r="V57" s="106"/>
      <c r="W57" s="106"/>
      <c r="X57" s="106">
        <v>22650</v>
      </c>
      <c r="Y57" s="108"/>
      <c r="Z57" s="106">
        <v>21352.86</v>
      </c>
      <c r="AA57" s="109">
        <v>46051</v>
      </c>
      <c r="AB57" s="110" t="s">
        <v>80</v>
      </c>
      <c r="AC57" s="111" t="s">
        <v>387</v>
      </c>
      <c r="AD57" s="106"/>
      <c r="AE57" s="7"/>
      <c r="AF57" s="69">
        <f t="shared" si="0"/>
        <v>-475202.92</v>
      </c>
      <c r="AG57" s="1">
        <v>50213060</v>
      </c>
      <c r="AH57" s="6"/>
      <c r="AI57" s="4"/>
      <c r="AJ57" s="77"/>
      <c r="AK57" s="78"/>
      <c r="AL57" s="77"/>
      <c r="AM57" s="78"/>
      <c r="AN57" s="14"/>
      <c r="AO57" s="14"/>
      <c r="AP57" s="4"/>
      <c r="AQ57" s="34"/>
      <c r="AR57" s="94">
        <v>0</v>
      </c>
      <c r="AS57" s="34"/>
      <c r="AT57" s="34"/>
      <c r="AU57" s="34"/>
      <c r="AV57" s="34"/>
      <c r="AW57" s="34"/>
      <c r="AX57" s="4"/>
    </row>
    <row r="58" spans="1:50" x14ac:dyDescent="0.3">
      <c r="A58" s="103" t="s">
        <v>80</v>
      </c>
      <c r="B58" s="112" t="s">
        <v>389</v>
      </c>
      <c r="C58" s="105" t="s">
        <v>390</v>
      </c>
      <c r="D58" s="7" t="s">
        <v>83</v>
      </c>
      <c r="E58" s="151" t="s">
        <v>84</v>
      </c>
      <c r="F58" s="105" t="s">
        <v>391</v>
      </c>
      <c r="G58" s="107" t="s">
        <v>386</v>
      </c>
      <c r="H58" s="7"/>
      <c r="I58" s="7"/>
      <c r="J58" s="7"/>
      <c r="K58" s="7"/>
      <c r="L58" s="106"/>
      <c r="M58" s="106">
        <v>0</v>
      </c>
      <c r="N58" s="106">
        <v>0</v>
      </c>
      <c r="O58" s="7"/>
      <c r="P58" s="7"/>
      <c r="Q58" s="7"/>
      <c r="R58" s="106">
        <v>0</v>
      </c>
      <c r="S58" s="7"/>
      <c r="T58" s="7">
        <v>3350</v>
      </c>
      <c r="U58" s="7"/>
      <c r="V58" s="7"/>
      <c r="W58" s="7"/>
      <c r="X58" s="113">
        <v>3350</v>
      </c>
      <c r="Y58" s="7"/>
      <c r="Z58" s="106">
        <v>3350</v>
      </c>
      <c r="AA58" s="109">
        <v>46051</v>
      </c>
      <c r="AB58" s="110" t="s">
        <v>80</v>
      </c>
      <c r="AC58" s="111" t="s">
        <v>392</v>
      </c>
      <c r="AD58" s="7"/>
      <c r="AE58" s="7"/>
      <c r="AF58" s="69">
        <f t="shared" si="0"/>
        <v>-475202.92</v>
      </c>
      <c r="AG58" s="1">
        <v>50213210</v>
      </c>
      <c r="AH58" s="6"/>
      <c r="AI58" s="4"/>
      <c r="AJ58" s="77"/>
      <c r="AK58" s="78"/>
      <c r="AL58" s="77"/>
      <c r="AM58" s="78"/>
      <c r="AN58" s="14"/>
      <c r="AO58" s="14"/>
      <c r="AP58" s="4"/>
      <c r="AQ58" s="34"/>
      <c r="AR58" s="34"/>
      <c r="AS58" s="34"/>
      <c r="AT58" s="34"/>
      <c r="AU58" s="34"/>
      <c r="AV58" s="34"/>
      <c r="AW58" s="34"/>
      <c r="AX58" s="4"/>
    </row>
    <row r="59" spans="1:50" x14ac:dyDescent="0.3">
      <c r="A59" s="147"/>
      <c r="B59" s="147"/>
      <c r="C59" s="147"/>
      <c r="D59" s="147"/>
      <c r="E59" s="147"/>
      <c r="F59" s="147"/>
      <c r="G59" s="147"/>
      <c r="H59" s="147"/>
      <c r="I59" s="147"/>
      <c r="J59" s="147"/>
      <c r="K59" s="147"/>
      <c r="L59" s="147"/>
      <c r="M59" s="147"/>
      <c r="N59" s="147"/>
      <c r="O59" s="147"/>
      <c r="P59" s="147"/>
      <c r="Q59" s="147"/>
      <c r="R59" s="147"/>
      <c r="S59" s="147"/>
      <c r="T59" s="147"/>
      <c r="U59" s="147"/>
      <c r="V59" s="147"/>
      <c r="W59" s="147"/>
      <c r="X59" s="147"/>
      <c r="Y59" s="147"/>
      <c r="Z59" s="147"/>
      <c r="AA59" s="147"/>
      <c r="AB59" s="147"/>
      <c r="AC59" s="147"/>
      <c r="AD59" s="147"/>
      <c r="AE59" s="147"/>
      <c r="AF59" s="69">
        <f t="shared" si="0"/>
        <v>-475202.92</v>
      </c>
    </row>
    <row r="60" spans="1:50" x14ac:dyDescent="0.3">
      <c r="A60" s="147"/>
      <c r="B60" s="147"/>
      <c r="C60" s="147"/>
      <c r="D60" s="147"/>
      <c r="E60" s="147"/>
      <c r="F60" s="147"/>
      <c r="G60" s="147"/>
      <c r="H60" s="152">
        <f t="shared" ref="H60:N60" si="2">SUM(H57:H59)</f>
        <v>0</v>
      </c>
      <c r="I60" s="152">
        <f t="shared" si="2"/>
        <v>285.98</v>
      </c>
      <c r="J60" s="152">
        <f t="shared" si="2"/>
        <v>1011.16</v>
      </c>
      <c r="K60" s="152">
        <f t="shared" si="2"/>
        <v>0</v>
      </c>
      <c r="L60" s="152">
        <f t="shared" si="2"/>
        <v>0</v>
      </c>
      <c r="M60" s="152">
        <f t="shared" si="2"/>
        <v>0</v>
      </c>
      <c r="N60" s="152">
        <f t="shared" si="2"/>
        <v>1297.1399999999999</v>
      </c>
      <c r="O60" s="147"/>
      <c r="P60" s="147"/>
      <c r="Q60" s="147"/>
      <c r="R60" s="152">
        <f>SUM(R57:R59)</f>
        <v>1297.1399999999999</v>
      </c>
      <c r="S60" s="147"/>
      <c r="T60" s="152">
        <f>SUM(T57:T59)</f>
        <v>26000</v>
      </c>
      <c r="U60" s="147"/>
      <c r="V60" s="147"/>
      <c r="W60" s="147"/>
      <c r="X60" s="152">
        <f>SUM(X57:X59)</f>
        <v>26000</v>
      </c>
      <c r="Y60" s="147"/>
      <c r="Z60" s="152">
        <f>SUM(Z57:Z59)</f>
        <v>24702.86</v>
      </c>
      <c r="AA60" s="147"/>
      <c r="AB60" s="147"/>
      <c r="AC60" s="147"/>
      <c r="AD60" s="147"/>
      <c r="AE60" s="147"/>
      <c r="AF60" s="69">
        <f t="shared" si="0"/>
        <v>-475202.92</v>
      </c>
    </row>
    <row r="61" spans="1:50" x14ac:dyDescent="0.3">
      <c r="A61" s="147"/>
      <c r="B61" s="147"/>
      <c r="C61" s="147"/>
      <c r="D61" s="147"/>
      <c r="E61" s="147"/>
      <c r="F61" s="147"/>
      <c r="G61" s="147"/>
      <c r="H61" s="147"/>
      <c r="I61" s="147"/>
      <c r="J61" s="147"/>
      <c r="K61" s="147"/>
      <c r="L61" s="147"/>
      <c r="M61" s="147"/>
      <c r="N61" s="147"/>
      <c r="O61" s="147"/>
      <c r="P61" s="147"/>
      <c r="Q61" s="147"/>
      <c r="R61" s="147"/>
      <c r="S61" s="147"/>
      <c r="T61" s="147"/>
      <c r="U61" s="147"/>
      <c r="V61" s="147"/>
      <c r="W61" s="147"/>
      <c r="X61" s="147"/>
      <c r="Y61" s="147"/>
      <c r="Z61" s="147"/>
      <c r="AA61" s="147"/>
      <c r="AB61" s="147"/>
      <c r="AC61" s="147"/>
      <c r="AD61" s="147"/>
      <c r="AE61" s="147"/>
      <c r="AF61" s="69">
        <f t="shared" si="0"/>
        <v>-475202.92</v>
      </c>
    </row>
    <row r="62" spans="1:50" x14ac:dyDescent="0.3">
      <c r="A62" s="147"/>
      <c r="B62" s="147"/>
      <c r="C62" s="150" t="s">
        <v>441</v>
      </c>
      <c r="D62" s="147"/>
      <c r="E62" s="147"/>
      <c r="F62" s="147"/>
      <c r="G62" s="147"/>
      <c r="H62" s="147"/>
      <c r="I62" s="147"/>
      <c r="J62" s="147"/>
      <c r="K62" s="147"/>
      <c r="L62" s="147"/>
      <c r="M62" s="147"/>
      <c r="N62" s="147"/>
      <c r="O62" s="147"/>
      <c r="P62" s="147"/>
      <c r="Q62" s="147"/>
      <c r="R62" s="147"/>
      <c r="S62" s="147"/>
      <c r="T62" s="147"/>
      <c r="U62" s="147"/>
      <c r="V62" s="147"/>
      <c r="W62" s="147"/>
      <c r="X62" s="147"/>
      <c r="Y62" s="147"/>
      <c r="Z62" s="147"/>
      <c r="AA62" s="147"/>
      <c r="AB62" s="147"/>
      <c r="AC62" s="147"/>
      <c r="AD62" s="147"/>
      <c r="AE62" s="147"/>
      <c r="AF62" s="69">
        <f t="shared" si="0"/>
        <v>-475202.92</v>
      </c>
    </row>
    <row r="63" spans="1:50" x14ac:dyDescent="0.3">
      <c r="A63" s="147"/>
      <c r="B63" s="147"/>
      <c r="C63" s="147"/>
      <c r="D63" s="147"/>
      <c r="E63" s="147"/>
      <c r="F63" s="147"/>
      <c r="G63" s="147"/>
      <c r="H63" s="147"/>
      <c r="I63" s="147"/>
      <c r="J63" s="147"/>
      <c r="K63" s="147"/>
      <c r="L63" s="147"/>
      <c r="M63" s="147"/>
      <c r="N63" s="147"/>
      <c r="O63" s="147"/>
      <c r="P63" s="147"/>
      <c r="Q63" s="147"/>
      <c r="R63" s="147"/>
      <c r="S63" s="147"/>
      <c r="T63" s="147"/>
      <c r="U63" s="147"/>
      <c r="V63" s="147"/>
      <c r="W63" s="147"/>
      <c r="X63" s="147"/>
      <c r="Y63" s="147"/>
      <c r="Z63" s="147"/>
      <c r="AA63" s="147"/>
      <c r="AB63" s="147"/>
      <c r="AC63" s="147"/>
      <c r="AD63" s="147"/>
      <c r="AE63" s="147"/>
      <c r="AF63" s="69">
        <f t="shared" si="0"/>
        <v>-475202.92</v>
      </c>
    </row>
    <row r="64" spans="1:50" x14ac:dyDescent="0.3">
      <c r="A64" s="147"/>
      <c r="B64" s="147"/>
      <c r="C64" s="147"/>
      <c r="D64" s="147"/>
      <c r="E64" s="147"/>
      <c r="F64" s="147"/>
      <c r="G64" s="147"/>
      <c r="H64" s="147"/>
      <c r="I64" s="147"/>
      <c r="J64" s="147"/>
      <c r="K64" s="147"/>
      <c r="L64" s="147"/>
      <c r="M64" s="147"/>
      <c r="N64" s="147"/>
      <c r="O64" s="147"/>
      <c r="P64" s="147"/>
      <c r="Q64" s="147"/>
      <c r="R64" s="147"/>
      <c r="S64" s="147"/>
      <c r="T64" s="147"/>
      <c r="U64" s="147"/>
      <c r="V64" s="147"/>
      <c r="W64" s="147"/>
      <c r="X64" s="147"/>
      <c r="Y64" s="147"/>
      <c r="Z64" s="147"/>
      <c r="AA64" s="147"/>
      <c r="AB64" s="147"/>
      <c r="AC64" s="147"/>
      <c r="AD64" s="147"/>
      <c r="AE64" s="147"/>
      <c r="AF64" s="69">
        <f t="shared" si="0"/>
        <v>-475202.92</v>
      </c>
    </row>
    <row r="65" spans="1:50" x14ac:dyDescent="0.3">
      <c r="A65" s="132" t="s">
        <v>80</v>
      </c>
      <c r="B65" s="133" t="s">
        <v>442</v>
      </c>
      <c r="C65" s="134" t="s">
        <v>443</v>
      </c>
      <c r="D65" s="16" t="s">
        <v>83</v>
      </c>
      <c r="E65" s="141"/>
      <c r="F65" s="134" t="s">
        <v>445</v>
      </c>
      <c r="G65" s="136" t="s">
        <v>446</v>
      </c>
      <c r="H65" s="135"/>
      <c r="I65" s="135"/>
      <c r="J65" s="135"/>
      <c r="K65" s="135"/>
      <c r="L65" s="135"/>
      <c r="M65" s="135">
        <v>18000</v>
      </c>
      <c r="N65" s="135">
        <v>0</v>
      </c>
      <c r="O65" s="135"/>
      <c r="P65" s="135"/>
      <c r="Q65" s="135"/>
      <c r="R65" s="135">
        <v>0</v>
      </c>
      <c r="S65" s="135"/>
      <c r="T65" s="135">
        <v>18000</v>
      </c>
      <c r="U65" s="135"/>
      <c r="V65" s="135"/>
      <c r="W65" s="135">
        <v>18000</v>
      </c>
      <c r="X65" s="135"/>
      <c r="Y65" s="135"/>
      <c r="Z65" s="135"/>
      <c r="AA65" s="137"/>
      <c r="AB65" s="138"/>
      <c r="AC65" s="139"/>
      <c r="AD65" s="135"/>
      <c r="AE65" s="16"/>
      <c r="AF65" s="69">
        <f t="shared" si="0"/>
        <v>-475202.92</v>
      </c>
      <c r="AG65" s="1"/>
      <c r="AH65" s="6"/>
      <c r="AI65" s="4"/>
      <c r="AJ65" s="77"/>
      <c r="AK65" s="78"/>
      <c r="AL65" s="77"/>
      <c r="AM65" s="78"/>
      <c r="AN65" s="14"/>
      <c r="AO65" s="14"/>
      <c r="AP65" s="4"/>
      <c r="AQ65" s="34"/>
      <c r="AR65" s="34"/>
      <c r="AS65" s="34"/>
      <c r="AT65" s="34"/>
      <c r="AU65" s="34"/>
      <c r="AV65" s="34"/>
      <c r="AW65" s="34"/>
      <c r="AX65" s="4"/>
    </row>
    <row r="66" spans="1:50" x14ac:dyDescent="0.3">
      <c r="A66" s="132" t="s">
        <v>80</v>
      </c>
      <c r="B66" s="133" t="s">
        <v>447</v>
      </c>
      <c r="C66" s="134" t="s">
        <v>448</v>
      </c>
      <c r="D66" s="16" t="s">
        <v>83</v>
      </c>
      <c r="E66" s="141"/>
      <c r="F66" s="134" t="s">
        <v>449</v>
      </c>
      <c r="G66" s="136" t="s">
        <v>446</v>
      </c>
      <c r="H66" s="135"/>
      <c r="I66" s="135"/>
      <c r="J66" s="135"/>
      <c r="K66" s="135"/>
      <c r="L66" s="135"/>
      <c r="M66" s="135">
        <v>16000</v>
      </c>
      <c r="N66" s="135">
        <v>0</v>
      </c>
      <c r="O66" s="135"/>
      <c r="P66" s="135"/>
      <c r="Q66" s="135"/>
      <c r="R66" s="135">
        <v>0</v>
      </c>
      <c r="S66" s="135"/>
      <c r="T66" s="135">
        <v>16000</v>
      </c>
      <c r="U66" s="135"/>
      <c r="V66" s="135"/>
      <c r="W66" s="135">
        <v>16000</v>
      </c>
      <c r="X66" s="135"/>
      <c r="Y66" s="135"/>
      <c r="Z66" s="135"/>
      <c r="AA66" s="140"/>
      <c r="AB66" s="138"/>
      <c r="AC66" s="139"/>
      <c r="AD66" s="135"/>
      <c r="AE66" s="16"/>
      <c r="AF66" s="69">
        <f t="shared" si="0"/>
        <v>-475202.92</v>
      </c>
      <c r="AG66" s="1"/>
      <c r="AH66" s="6"/>
      <c r="AI66" s="4"/>
      <c r="AJ66" s="77"/>
      <c r="AK66" s="78"/>
      <c r="AL66" s="77"/>
      <c r="AM66" s="78"/>
      <c r="AN66" s="14"/>
      <c r="AO66" s="14"/>
      <c r="AP66" s="4"/>
      <c r="AQ66" s="34"/>
      <c r="AR66" s="34"/>
      <c r="AS66" s="34"/>
      <c r="AT66" s="34"/>
      <c r="AU66" s="34"/>
      <c r="AV66" s="34"/>
      <c r="AW66" s="34"/>
      <c r="AX66" s="4"/>
    </row>
    <row r="67" spans="1:50" x14ac:dyDescent="0.3">
      <c r="A67" s="132" t="s">
        <v>80</v>
      </c>
      <c r="B67" s="133" t="s">
        <v>450</v>
      </c>
      <c r="C67" s="134" t="s">
        <v>424</v>
      </c>
      <c r="D67" s="16" t="s">
        <v>83</v>
      </c>
      <c r="E67" s="141"/>
      <c r="F67" s="134" t="s">
        <v>451</v>
      </c>
      <c r="G67" s="136" t="s">
        <v>446</v>
      </c>
      <c r="H67" s="135"/>
      <c r="I67" s="135"/>
      <c r="J67" s="135"/>
      <c r="K67" s="135"/>
      <c r="L67" s="135"/>
      <c r="M67" s="135">
        <v>1400</v>
      </c>
      <c r="N67" s="135">
        <v>0</v>
      </c>
      <c r="O67" s="135"/>
      <c r="P67" s="135"/>
      <c r="Q67" s="135"/>
      <c r="R67" s="135">
        <v>0</v>
      </c>
      <c r="S67" s="135"/>
      <c r="T67" s="135">
        <v>1400</v>
      </c>
      <c r="U67" s="135"/>
      <c r="V67" s="135"/>
      <c r="W67" s="135">
        <v>1400</v>
      </c>
      <c r="X67" s="135"/>
      <c r="Y67" s="135"/>
      <c r="Z67" s="135"/>
      <c r="AA67" s="140"/>
      <c r="AB67" s="138"/>
      <c r="AC67" s="139"/>
      <c r="AD67" s="135"/>
      <c r="AE67" s="16"/>
      <c r="AF67" s="69">
        <f t="shared" si="0"/>
        <v>-475202.92</v>
      </c>
      <c r="AG67" s="1"/>
      <c r="AH67" s="6"/>
      <c r="AI67" s="4"/>
      <c r="AJ67" s="77"/>
      <c r="AK67" s="78"/>
      <c r="AL67" s="77"/>
      <c r="AM67" s="78"/>
      <c r="AN67" s="14"/>
      <c r="AO67" s="14"/>
      <c r="AP67" s="4"/>
      <c r="AQ67" s="34"/>
      <c r="AR67" s="34"/>
      <c r="AS67" s="34"/>
      <c r="AT67" s="34"/>
      <c r="AU67" s="34"/>
      <c r="AV67" s="34"/>
      <c r="AW67" s="34"/>
      <c r="AX67" s="4"/>
    </row>
    <row r="68" spans="1:50" x14ac:dyDescent="0.3">
      <c r="A68" s="132" t="s">
        <v>80</v>
      </c>
      <c r="B68" s="134" t="s">
        <v>455</v>
      </c>
      <c r="C68" s="134" t="s">
        <v>456</v>
      </c>
      <c r="D68" s="16" t="s">
        <v>83</v>
      </c>
      <c r="E68" s="141"/>
      <c r="F68" s="134" t="s">
        <v>458</v>
      </c>
      <c r="G68" s="136" t="s">
        <v>446</v>
      </c>
      <c r="H68" s="135"/>
      <c r="I68" s="135"/>
      <c r="J68" s="135"/>
      <c r="K68" s="135"/>
      <c r="L68" s="135"/>
      <c r="M68" s="135">
        <v>4545.99</v>
      </c>
      <c r="N68" s="135">
        <v>0</v>
      </c>
      <c r="O68" s="135"/>
      <c r="P68" s="135"/>
      <c r="Q68" s="135"/>
      <c r="R68" s="135">
        <v>0</v>
      </c>
      <c r="S68" s="135"/>
      <c r="T68" s="135">
        <v>4545.99</v>
      </c>
      <c r="U68" s="135"/>
      <c r="V68" s="135"/>
      <c r="W68" s="135">
        <v>4545.99</v>
      </c>
      <c r="X68" s="135"/>
      <c r="Y68" s="135"/>
      <c r="Z68" s="135"/>
      <c r="AA68" s="137"/>
      <c r="AB68" s="138"/>
      <c r="AC68" s="139"/>
      <c r="AD68" s="135"/>
      <c r="AE68" s="16"/>
      <c r="AF68" s="69">
        <f t="shared" si="0"/>
        <v>-475202.92</v>
      </c>
      <c r="AG68" s="1"/>
      <c r="AH68" s="6"/>
      <c r="AI68" s="4"/>
      <c r="AJ68" s="77"/>
      <c r="AK68" s="78"/>
      <c r="AL68" s="77"/>
      <c r="AM68" s="78"/>
      <c r="AN68" s="14"/>
      <c r="AO68" s="14"/>
      <c r="AP68" s="4"/>
      <c r="AQ68" s="34"/>
      <c r="AR68" s="34"/>
      <c r="AS68" s="34"/>
      <c r="AT68" s="34"/>
      <c r="AU68" s="34"/>
      <c r="AV68" s="34"/>
      <c r="AW68" s="34"/>
      <c r="AX68" s="4"/>
    </row>
    <row r="69" spans="1:50" x14ac:dyDescent="0.3">
      <c r="A69" s="147"/>
      <c r="B69" s="147"/>
      <c r="C69" s="147"/>
      <c r="D69" s="147"/>
      <c r="E69" s="147"/>
      <c r="F69" s="147"/>
      <c r="G69" s="147"/>
      <c r="H69" s="147"/>
      <c r="I69" s="147"/>
      <c r="J69" s="147"/>
      <c r="K69" s="147"/>
      <c r="L69" s="147"/>
      <c r="M69" s="147"/>
      <c r="N69" s="147"/>
      <c r="O69" s="147"/>
      <c r="P69" s="147"/>
      <c r="Q69" s="147"/>
      <c r="R69" s="147"/>
      <c r="S69" s="147"/>
      <c r="T69" s="147"/>
      <c r="U69" s="147"/>
      <c r="V69" s="147"/>
      <c r="W69" s="147"/>
      <c r="X69" s="147"/>
      <c r="Y69" s="147"/>
      <c r="Z69" s="147"/>
      <c r="AA69" s="147"/>
      <c r="AB69" s="147"/>
      <c r="AC69" s="147"/>
      <c r="AD69" s="147"/>
      <c r="AE69" s="147"/>
      <c r="AF69" s="69">
        <f t="shared" si="0"/>
        <v>-475202.92</v>
      </c>
    </row>
    <row r="70" spans="1:50" x14ac:dyDescent="0.3">
      <c r="A70" s="147"/>
      <c r="B70" s="147"/>
      <c r="C70" s="147"/>
      <c r="D70" s="147"/>
      <c r="E70" s="147"/>
      <c r="F70" s="147"/>
      <c r="G70" s="147"/>
      <c r="H70" s="147"/>
      <c r="I70" s="147"/>
      <c r="J70" s="147"/>
      <c r="K70" s="147"/>
      <c r="L70" s="147"/>
      <c r="M70" s="147"/>
      <c r="N70" s="147"/>
      <c r="O70" s="147"/>
      <c r="P70" s="147"/>
      <c r="Q70" s="147"/>
      <c r="R70" s="147"/>
      <c r="S70" s="147"/>
      <c r="T70" s="152">
        <f>SUM(T65:T69)</f>
        <v>39945.99</v>
      </c>
      <c r="U70" s="147"/>
      <c r="V70" s="147"/>
      <c r="W70" s="152">
        <f>SUM(W65:W69)</f>
        <v>39945.99</v>
      </c>
      <c r="X70" s="147"/>
      <c r="Y70" s="147"/>
      <c r="Z70" s="147"/>
      <c r="AA70" s="147"/>
      <c r="AB70" s="147"/>
      <c r="AC70" s="147"/>
      <c r="AD70" s="147"/>
      <c r="AE70" s="147"/>
      <c r="AF70" s="69">
        <f t="shared" si="0"/>
        <v>-475202.92</v>
      </c>
    </row>
    <row r="71" spans="1:50" x14ac:dyDescent="0.3">
      <c r="A71" s="147"/>
      <c r="B71" s="147"/>
      <c r="C71" s="147"/>
      <c r="D71" s="147"/>
      <c r="E71" s="147"/>
      <c r="F71" s="147"/>
      <c r="G71" s="147"/>
      <c r="H71" s="147"/>
      <c r="I71" s="147"/>
      <c r="J71" s="147"/>
      <c r="K71" s="147"/>
      <c r="L71" s="147"/>
      <c r="M71" s="147"/>
      <c r="N71" s="147"/>
      <c r="O71" s="147"/>
      <c r="P71" s="147"/>
      <c r="Q71" s="147"/>
      <c r="R71" s="147"/>
      <c r="S71" s="147"/>
      <c r="T71" s="147"/>
      <c r="U71" s="147"/>
      <c r="V71" s="147"/>
      <c r="W71" s="147"/>
      <c r="X71" s="147"/>
      <c r="Y71" s="147"/>
      <c r="Z71" s="147"/>
      <c r="AA71" s="147"/>
      <c r="AB71" s="147"/>
      <c r="AC71" s="147"/>
      <c r="AD71" s="147"/>
      <c r="AE71" s="147"/>
      <c r="AF71" s="69">
        <f t="shared" si="0"/>
        <v>-475202.92</v>
      </c>
    </row>
    <row r="72" spans="1:50" x14ac:dyDescent="0.3">
      <c r="A72" s="147"/>
      <c r="B72" s="147"/>
      <c r="C72" s="147"/>
      <c r="D72" s="147"/>
      <c r="E72" s="147"/>
      <c r="F72" s="147"/>
      <c r="G72" s="147"/>
      <c r="H72" s="147"/>
      <c r="I72" s="147"/>
      <c r="J72" s="147"/>
      <c r="K72" s="147"/>
      <c r="L72" s="147"/>
      <c r="M72" s="147"/>
      <c r="N72" s="147"/>
      <c r="O72" s="147"/>
      <c r="P72" s="147"/>
      <c r="Q72" s="147"/>
      <c r="R72" s="147"/>
      <c r="S72" s="147"/>
      <c r="T72" s="147"/>
      <c r="U72" s="147"/>
      <c r="V72" s="147"/>
      <c r="W72" s="147"/>
      <c r="X72" s="147"/>
      <c r="Y72" s="147"/>
      <c r="Z72" s="147"/>
      <c r="AA72" s="147"/>
      <c r="AB72" s="147"/>
      <c r="AC72" s="147"/>
      <c r="AD72" s="147"/>
      <c r="AE72" s="147"/>
      <c r="AF72" s="69">
        <f t="shared" si="0"/>
        <v>-475202.92</v>
      </c>
    </row>
    <row r="73" spans="1:50" ht="15" thickBot="1" x14ac:dyDescent="0.35">
      <c r="A73" s="147"/>
      <c r="B73" s="147"/>
      <c r="C73" s="147"/>
      <c r="D73" s="147"/>
      <c r="E73" s="147"/>
      <c r="F73" s="147"/>
      <c r="G73" s="147"/>
      <c r="H73" s="147"/>
      <c r="I73" s="147"/>
      <c r="J73" s="147"/>
      <c r="K73" s="147"/>
      <c r="L73" s="147"/>
      <c r="M73" s="147"/>
      <c r="N73" s="147"/>
      <c r="O73" s="147"/>
      <c r="P73" s="147"/>
      <c r="Q73" s="147"/>
      <c r="R73" s="147"/>
      <c r="S73" s="147"/>
      <c r="T73" s="147"/>
      <c r="U73" s="147"/>
      <c r="V73" s="147"/>
      <c r="W73" s="147"/>
      <c r="X73" s="147"/>
      <c r="Y73" s="147"/>
      <c r="Z73" s="147"/>
      <c r="AA73" s="147"/>
      <c r="AB73" s="147"/>
      <c r="AC73" s="147"/>
      <c r="AD73" s="147"/>
      <c r="AE73" s="147"/>
      <c r="AF73" s="69">
        <f t="shared" si="0"/>
        <v>-475202.92</v>
      </c>
    </row>
    <row r="74" spans="1:50" x14ac:dyDescent="0.3">
      <c r="A74" s="147"/>
      <c r="B74" s="147"/>
      <c r="C74" s="147"/>
      <c r="D74" s="147"/>
      <c r="E74" s="147"/>
      <c r="F74" s="147"/>
      <c r="G74" s="147"/>
      <c r="H74" s="147"/>
      <c r="I74" s="147"/>
      <c r="J74" s="147"/>
      <c r="K74" s="147"/>
      <c r="L74" s="147"/>
      <c r="M74" s="147"/>
      <c r="N74" s="147"/>
      <c r="O74" s="147"/>
      <c r="P74" s="147"/>
      <c r="Q74" s="147"/>
      <c r="R74" s="147"/>
      <c r="S74" s="147"/>
      <c r="T74" s="147"/>
      <c r="U74" s="153" t="s">
        <v>480</v>
      </c>
      <c r="V74" s="154"/>
      <c r="W74" s="147"/>
      <c r="X74" s="147"/>
      <c r="Y74" s="147"/>
      <c r="Z74" s="147"/>
      <c r="AA74" s="147"/>
      <c r="AB74" s="147"/>
      <c r="AC74" s="147"/>
      <c r="AD74" s="147"/>
      <c r="AE74" s="147"/>
      <c r="AF74" s="69">
        <f t="shared" si="0"/>
        <v>-475202.92</v>
      </c>
    </row>
    <row r="75" spans="1:50" x14ac:dyDescent="0.3">
      <c r="A75" s="147"/>
      <c r="B75" s="147"/>
      <c r="C75" s="147"/>
      <c r="D75" s="147"/>
      <c r="E75" s="147"/>
      <c r="F75" s="147"/>
      <c r="G75" s="147"/>
      <c r="H75" s="147"/>
      <c r="I75" s="147"/>
      <c r="J75" s="147"/>
      <c r="K75" s="147"/>
      <c r="L75" s="147"/>
      <c r="M75" s="147"/>
      <c r="N75" s="147"/>
      <c r="O75" s="147"/>
      <c r="P75" s="147"/>
      <c r="Q75" s="147"/>
      <c r="R75" s="147"/>
      <c r="S75" s="147"/>
      <c r="T75" s="147"/>
      <c r="U75" s="155"/>
      <c r="V75" s="156" t="s">
        <v>481</v>
      </c>
      <c r="W75" s="147"/>
      <c r="X75" s="147"/>
      <c r="Y75" s="147"/>
      <c r="Z75" s="147"/>
      <c r="AA75" s="147"/>
      <c r="AB75" s="147"/>
      <c r="AC75" s="147"/>
      <c r="AD75" s="147"/>
      <c r="AE75" s="147"/>
      <c r="AF75" s="69">
        <f t="shared" si="0"/>
        <v>-475202.92</v>
      </c>
    </row>
    <row r="76" spans="1:50" x14ac:dyDescent="0.3">
      <c r="A76" s="147"/>
      <c r="B76" s="147"/>
      <c r="C76" s="147"/>
      <c r="D76" s="147"/>
      <c r="E76" s="147"/>
      <c r="F76" s="147"/>
      <c r="G76" s="147"/>
      <c r="H76" s="147"/>
      <c r="I76" s="147"/>
      <c r="J76" s="147"/>
      <c r="K76" s="147"/>
      <c r="L76" s="147"/>
      <c r="M76" s="147"/>
      <c r="N76" s="147"/>
      <c r="O76" s="147"/>
      <c r="P76" s="147"/>
      <c r="Q76" s="147"/>
      <c r="R76" s="147"/>
      <c r="S76" s="147"/>
      <c r="T76" s="147"/>
      <c r="U76" s="157" t="s">
        <v>482</v>
      </c>
      <c r="V76" s="143">
        <f>+T53-SUM(U53:X53)</f>
        <v>487142.83</v>
      </c>
      <c r="W76" s="147"/>
      <c r="X76" s="147"/>
      <c r="Y76" s="147"/>
      <c r="Z76" s="147"/>
      <c r="AA76" s="147"/>
      <c r="AB76" s="147"/>
      <c r="AC76" s="147"/>
      <c r="AD76" s="147"/>
      <c r="AE76" s="147"/>
      <c r="AF76" s="69">
        <f t="shared" si="0"/>
        <v>-475202.92</v>
      </c>
    </row>
    <row r="77" spans="1:50" x14ac:dyDescent="0.3">
      <c r="A77" s="147"/>
      <c r="B77" s="147"/>
      <c r="C77" s="147"/>
      <c r="D77" s="147"/>
      <c r="E77" s="147"/>
      <c r="F77" s="147"/>
      <c r="G77" s="147"/>
      <c r="H77" s="147"/>
      <c r="I77" s="147"/>
      <c r="J77" s="147"/>
      <c r="K77" s="147"/>
      <c r="L77" s="147"/>
      <c r="M77" s="147"/>
      <c r="N77" s="147"/>
      <c r="O77" s="147"/>
      <c r="P77" s="147"/>
      <c r="Q77" s="147"/>
      <c r="R77" s="147"/>
      <c r="S77" s="147"/>
      <c r="T77" s="147"/>
      <c r="U77" s="157" t="s">
        <v>461</v>
      </c>
      <c r="V77" s="143">
        <f>+N60</f>
        <v>1297.1399999999999</v>
      </c>
      <c r="W77" s="147"/>
      <c r="X77" s="147"/>
      <c r="Y77" s="147"/>
      <c r="Z77" s="147"/>
      <c r="AA77" s="147"/>
      <c r="AB77" s="147"/>
      <c r="AC77" s="147"/>
      <c r="AD77" s="147"/>
      <c r="AE77" s="147"/>
      <c r="AF77" s="69">
        <f t="shared" ref="AF77:AF97" si="3">AF76+AD77-AE77</f>
        <v>-475202.92</v>
      </c>
    </row>
    <row r="78" spans="1:50" x14ac:dyDescent="0.3">
      <c r="A78" s="147"/>
      <c r="B78" s="147"/>
      <c r="C78" s="147"/>
      <c r="D78" s="147"/>
      <c r="E78" s="147"/>
      <c r="F78" s="147"/>
      <c r="G78" s="147"/>
      <c r="H78" s="147"/>
      <c r="I78" s="147"/>
      <c r="J78" s="147"/>
      <c r="K78" s="147"/>
      <c r="L78" s="147"/>
      <c r="M78" s="147"/>
      <c r="N78" s="147"/>
      <c r="O78" s="147"/>
      <c r="P78" s="147"/>
      <c r="Q78" s="147"/>
      <c r="R78" s="147"/>
      <c r="S78" s="147"/>
      <c r="T78" s="147"/>
      <c r="U78" s="157" t="s">
        <v>483</v>
      </c>
      <c r="V78" s="143">
        <f>+T70+Z60</f>
        <v>64648.85</v>
      </c>
      <c r="W78" s="147"/>
      <c r="X78" s="147"/>
      <c r="Y78" s="147"/>
      <c r="Z78" s="147"/>
      <c r="AA78" s="147"/>
      <c r="AB78" s="147"/>
      <c r="AC78" s="147"/>
      <c r="AD78" s="147"/>
      <c r="AE78" s="147"/>
      <c r="AF78" s="69">
        <f t="shared" si="3"/>
        <v>-475202.92</v>
      </c>
    </row>
    <row r="79" spans="1:50" x14ac:dyDescent="0.3">
      <c r="A79" s="147"/>
      <c r="B79" s="147"/>
      <c r="C79" s="147"/>
      <c r="D79" s="147"/>
      <c r="E79" s="147"/>
      <c r="F79" s="147"/>
      <c r="G79" s="147"/>
      <c r="H79" s="147"/>
      <c r="I79" s="147"/>
      <c r="J79" s="147"/>
      <c r="K79" s="147"/>
      <c r="L79" s="147"/>
      <c r="M79" s="147"/>
      <c r="N79" s="147"/>
      <c r="O79" s="147"/>
      <c r="P79" s="147"/>
      <c r="Q79" s="147"/>
      <c r="R79" s="147"/>
      <c r="S79" s="147"/>
      <c r="T79" s="147"/>
      <c r="U79" s="157" t="s">
        <v>484</v>
      </c>
      <c r="V79" s="143">
        <f>SUM(V76:V78)</f>
        <v>553088.82000000007</v>
      </c>
      <c r="W79" s="147"/>
      <c r="X79" s="147"/>
      <c r="Y79" s="147"/>
      <c r="Z79" s="147"/>
      <c r="AA79" s="147"/>
      <c r="AB79" s="147"/>
      <c r="AC79" s="147"/>
      <c r="AD79" s="147"/>
      <c r="AE79" s="147"/>
      <c r="AF79" s="69">
        <f t="shared" si="3"/>
        <v>-475202.92</v>
      </c>
    </row>
    <row r="80" spans="1:50" x14ac:dyDescent="0.3">
      <c r="A80" s="147"/>
      <c r="B80" s="147"/>
      <c r="C80" s="147"/>
      <c r="D80" s="147"/>
      <c r="E80" s="147"/>
      <c r="F80" s="147"/>
      <c r="G80" s="147"/>
      <c r="H80" s="147"/>
      <c r="I80" s="147"/>
      <c r="J80" s="147"/>
      <c r="K80" s="147"/>
      <c r="L80" s="147"/>
      <c r="M80" s="147"/>
      <c r="N80" s="147"/>
      <c r="O80" s="147"/>
      <c r="P80" s="147"/>
      <c r="Q80" s="147"/>
      <c r="R80" s="147"/>
      <c r="S80" s="147"/>
      <c r="T80" s="147"/>
      <c r="U80" s="157" t="s">
        <v>460</v>
      </c>
      <c r="V80" s="143">
        <v>553088.81999999995</v>
      </c>
      <c r="W80" s="147"/>
      <c r="X80" s="147"/>
      <c r="Y80" s="147"/>
      <c r="Z80" s="147"/>
      <c r="AA80" s="147"/>
      <c r="AB80" s="147"/>
      <c r="AC80" s="147"/>
      <c r="AD80" s="147"/>
      <c r="AE80" s="147"/>
      <c r="AF80" s="69">
        <f t="shared" si="3"/>
        <v>-475202.92</v>
      </c>
    </row>
    <row r="81" spans="1:32" x14ac:dyDescent="0.3">
      <c r="A81" s="147"/>
      <c r="B81" s="147"/>
      <c r="C81" s="147"/>
      <c r="D81" s="147"/>
      <c r="E81" s="147"/>
      <c r="F81" s="147"/>
      <c r="G81" s="147"/>
      <c r="H81" s="147"/>
      <c r="I81" s="147"/>
      <c r="J81" s="147"/>
      <c r="K81" s="147"/>
      <c r="L81" s="147"/>
      <c r="M81" s="147"/>
      <c r="N81" s="147"/>
      <c r="O81" s="147"/>
      <c r="P81" s="147"/>
      <c r="Q81" s="147"/>
      <c r="R81" s="147"/>
      <c r="S81" s="147"/>
      <c r="T81" s="147"/>
      <c r="U81" s="158" t="s">
        <v>485</v>
      </c>
      <c r="V81" s="159">
        <f>+V79-V80</f>
        <v>0</v>
      </c>
      <c r="W81" s="147"/>
      <c r="X81" s="147"/>
      <c r="Y81" s="147"/>
      <c r="Z81" s="147"/>
      <c r="AA81" s="147"/>
      <c r="AB81" s="147"/>
      <c r="AC81" s="147"/>
      <c r="AD81" s="147"/>
      <c r="AE81" s="147"/>
      <c r="AF81" s="69">
        <f t="shared" si="3"/>
        <v>-475202.92</v>
      </c>
    </row>
    <row r="82" spans="1:32" x14ac:dyDescent="0.3">
      <c r="A82" s="147"/>
      <c r="B82" s="147"/>
      <c r="C82" s="147"/>
      <c r="D82" s="147"/>
      <c r="E82" s="147"/>
      <c r="F82" s="147"/>
      <c r="G82" s="147"/>
      <c r="H82" s="147"/>
      <c r="I82" s="147"/>
      <c r="J82" s="147"/>
      <c r="K82" s="147"/>
      <c r="L82" s="147"/>
      <c r="M82" s="147"/>
      <c r="N82" s="147"/>
      <c r="O82" s="147"/>
      <c r="P82" s="147"/>
      <c r="Q82" s="147"/>
      <c r="R82" s="147"/>
      <c r="S82" s="147"/>
      <c r="T82" s="147"/>
      <c r="U82" s="160"/>
      <c r="V82" s="161"/>
      <c r="W82" s="147"/>
      <c r="X82" s="147"/>
      <c r="Y82" s="147"/>
      <c r="Z82" s="147"/>
      <c r="AA82" s="147"/>
      <c r="AB82" s="147"/>
      <c r="AC82" s="147"/>
      <c r="AD82" s="147"/>
      <c r="AE82" s="147"/>
      <c r="AF82" s="69">
        <f t="shared" si="3"/>
        <v>-475202.92</v>
      </c>
    </row>
    <row r="83" spans="1:32" x14ac:dyDescent="0.3">
      <c r="A83" s="147"/>
      <c r="B83" s="147"/>
      <c r="C83" s="147"/>
      <c r="D83" s="147"/>
      <c r="E83" s="147"/>
      <c r="F83" s="147"/>
      <c r="G83" s="147"/>
      <c r="H83" s="147"/>
      <c r="I83" s="147"/>
      <c r="J83" s="147"/>
      <c r="K83" s="147"/>
      <c r="L83" s="147"/>
      <c r="M83" s="147"/>
      <c r="N83" s="147"/>
      <c r="O83" s="147"/>
      <c r="P83" s="147"/>
      <c r="Q83" s="147"/>
      <c r="R83" s="147"/>
      <c r="S83" s="147"/>
      <c r="T83" s="147"/>
      <c r="U83" s="160" t="s">
        <v>486</v>
      </c>
      <c r="V83" s="162">
        <f>+SUM(W21:X21)</f>
        <v>0</v>
      </c>
      <c r="W83" s="147"/>
      <c r="X83" s="147"/>
      <c r="Y83" s="147"/>
      <c r="Z83" s="147"/>
      <c r="AA83" s="147"/>
      <c r="AB83" s="147"/>
      <c r="AC83" s="147"/>
      <c r="AD83" s="147"/>
      <c r="AE83" s="147"/>
      <c r="AF83" s="69">
        <f t="shared" si="3"/>
        <v>-475202.92</v>
      </c>
    </row>
    <row r="84" spans="1:32" x14ac:dyDescent="0.3">
      <c r="A84" s="147"/>
      <c r="B84" s="147"/>
      <c r="C84" s="147"/>
      <c r="D84" s="147"/>
      <c r="E84" s="147"/>
      <c r="F84" s="147"/>
      <c r="G84" s="147"/>
      <c r="H84" s="147"/>
      <c r="I84" s="147"/>
      <c r="J84" s="147"/>
      <c r="K84" s="147"/>
      <c r="L84" s="147"/>
      <c r="M84" s="147"/>
      <c r="N84" s="147"/>
      <c r="O84" s="147"/>
      <c r="P84" s="147"/>
      <c r="Q84" s="147"/>
      <c r="R84" s="147"/>
      <c r="S84" s="147"/>
      <c r="T84" s="147"/>
      <c r="U84" s="160" t="s">
        <v>487</v>
      </c>
      <c r="V84" s="162">
        <f>+N56</f>
        <v>0</v>
      </c>
      <c r="W84" s="147"/>
      <c r="X84" s="147"/>
      <c r="Y84" s="147"/>
      <c r="Z84" s="147"/>
      <c r="AA84" s="147"/>
      <c r="AB84" s="147"/>
      <c r="AC84" s="147"/>
      <c r="AD84" s="147"/>
      <c r="AE84" s="147"/>
      <c r="AF84" s="69">
        <f t="shared" si="3"/>
        <v>-475202.92</v>
      </c>
    </row>
    <row r="85" spans="1:32" x14ac:dyDescent="0.3">
      <c r="A85" s="147"/>
      <c r="B85" s="147"/>
      <c r="C85" s="147"/>
      <c r="D85" s="147"/>
      <c r="E85" s="147"/>
      <c r="F85" s="147"/>
      <c r="G85" s="147"/>
      <c r="H85" s="147"/>
      <c r="I85" s="147"/>
      <c r="J85" s="147"/>
      <c r="K85" s="147"/>
      <c r="L85" s="147"/>
      <c r="M85" s="147"/>
      <c r="N85" s="147"/>
      <c r="O85" s="147"/>
      <c r="P85" s="147"/>
      <c r="Q85" s="147"/>
      <c r="R85" s="147"/>
      <c r="S85" s="147"/>
      <c r="T85" s="147"/>
      <c r="U85" s="163"/>
      <c r="V85" s="161"/>
      <c r="W85" s="147"/>
      <c r="X85" s="147"/>
      <c r="Y85" s="147"/>
      <c r="Z85" s="147"/>
      <c r="AA85" s="147"/>
      <c r="AB85" s="147"/>
      <c r="AC85" s="147"/>
      <c r="AD85" s="147"/>
      <c r="AE85" s="147"/>
      <c r="AF85" s="69">
        <f t="shared" si="3"/>
        <v>-475202.92</v>
      </c>
    </row>
    <row r="86" spans="1:32" x14ac:dyDescent="0.3">
      <c r="A86" s="147"/>
      <c r="B86" s="147"/>
      <c r="C86" s="147"/>
      <c r="D86" s="147"/>
      <c r="E86" s="147"/>
      <c r="F86" s="147"/>
      <c r="G86" s="147"/>
      <c r="H86" s="147"/>
      <c r="I86" s="147"/>
      <c r="J86" s="147"/>
      <c r="K86" s="147"/>
      <c r="L86" s="147"/>
      <c r="M86" s="147"/>
      <c r="N86" s="147"/>
      <c r="O86" s="147"/>
      <c r="P86" s="147"/>
      <c r="Q86" s="147"/>
      <c r="R86" s="147"/>
      <c r="S86" s="147"/>
      <c r="T86" s="147"/>
      <c r="U86" s="164" t="s">
        <v>488</v>
      </c>
      <c r="V86" s="146"/>
      <c r="W86" s="147"/>
      <c r="X86" s="147"/>
      <c r="Y86" s="147"/>
      <c r="Z86" s="147"/>
      <c r="AA86" s="147"/>
      <c r="AB86" s="147"/>
      <c r="AC86" s="147"/>
      <c r="AD86" s="147"/>
      <c r="AE86" s="147"/>
      <c r="AF86" s="69">
        <f t="shared" si="3"/>
        <v>-475202.92</v>
      </c>
    </row>
    <row r="87" spans="1:32" x14ac:dyDescent="0.3">
      <c r="A87" s="147"/>
      <c r="B87" s="147"/>
      <c r="C87" s="147"/>
      <c r="D87" s="147"/>
      <c r="E87" s="147"/>
      <c r="F87" s="147"/>
      <c r="G87" s="147"/>
      <c r="H87" s="147"/>
      <c r="I87" s="147"/>
      <c r="J87" s="147"/>
      <c r="K87" s="147"/>
      <c r="L87" s="147"/>
      <c r="M87" s="147"/>
      <c r="N87" s="147"/>
      <c r="O87" s="147"/>
      <c r="P87" s="147"/>
      <c r="Q87" s="147"/>
      <c r="R87" s="147"/>
      <c r="S87" s="147"/>
      <c r="T87" s="147"/>
      <c r="U87" s="164"/>
      <c r="V87" s="165" t="s">
        <v>481</v>
      </c>
      <c r="W87" s="147"/>
      <c r="X87" s="147"/>
      <c r="Y87" s="147"/>
      <c r="Z87" s="147"/>
      <c r="AA87" s="147"/>
      <c r="AB87" s="147"/>
      <c r="AC87" s="147"/>
      <c r="AD87" s="147"/>
      <c r="AE87" s="147"/>
      <c r="AF87" s="69">
        <f t="shared" si="3"/>
        <v>-475202.92</v>
      </c>
    </row>
    <row r="88" spans="1:32" x14ac:dyDescent="0.3">
      <c r="A88" s="147"/>
      <c r="B88" s="147"/>
      <c r="C88" s="147"/>
      <c r="D88" s="147"/>
      <c r="E88" s="147"/>
      <c r="F88" s="147"/>
      <c r="G88" s="147"/>
      <c r="H88" s="147"/>
      <c r="I88" s="147"/>
      <c r="J88" s="147"/>
      <c r="K88" s="147"/>
      <c r="L88" s="147"/>
      <c r="M88" s="147"/>
      <c r="N88" s="147"/>
      <c r="O88" s="147"/>
      <c r="P88" s="147"/>
      <c r="Q88" s="147"/>
      <c r="R88" s="147"/>
      <c r="S88" s="147"/>
      <c r="T88" s="147"/>
      <c r="U88" s="166" t="s">
        <v>489</v>
      </c>
      <c r="V88" s="146"/>
      <c r="W88" s="147"/>
      <c r="X88" s="147"/>
      <c r="Y88" s="147"/>
      <c r="Z88" s="147"/>
      <c r="AA88" s="147"/>
      <c r="AB88" s="147"/>
      <c r="AC88" s="147"/>
      <c r="AD88" s="147"/>
      <c r="AE88" s="147"/>
      <c r="AF88" s="69">
        <f t="shared" si="3"/>
        <v>-475202.92</v>
      </c>
    </row>
    <row r="89" spans="1:32" x14ac:dyDescent="0.3">
      <c r="A89" s="147"/>
      <c r="B89" s="147"/>
      <c r="C89" s="147"/>
      <c r="D89" s="147"/>
      <c r="E89" s="147"/>
      <c r="F89" s="147"/>
      <c r="G89" s="147"/>
      <c r="H89" s="147"/>
      <c r="I89" s="147"/>
      <c r="J89" s="147"/>
      <c r="K89" s="147"/>
      <c r="L89" s="147"/>
      <c r="M89" s="147"/>
      <c r="N89" s="147"/>
      <c r="O89" s="147"/>
      <c r="P89" s="147"/>
      <c r="Q89" s="147"/>
      <c r="R89" s="147"/>
      <c r="S89" s="147"/>
      <c r="T89" s="147"/>
      <c r="U89" s="167" t="s">
        <v>490</v>
      </c>
      <c r="V89" s="146">
        <f>+V76+V77</f>
        <v>488439.97000000003</v>
      </c>
      <c r="W89" s="147"/>
      <c r="X89" s="147"/>
      <c r="Y89" s="147"/>
      <c r="Z89" s="147"/>
      <c r="AA89" s="147"/>
      <c r="AB89" s="147"/>
      <c r="AC89" s="147"/>
      <c r="AD89" s="147"/>
      <c r="AE89" s="147"/>
      <c r="AF89" s="69">
        <f t="shared" si="3"/>
        <v>-475202.92</v>
      </c>
    </row>
    <row r="90" spans="1:32" x14ac:dyDescent="0.3">
      <c r="A90" s="147"/>
      <c r="B90" s="147"/>
      <c r="C90" s="147"/>
      <c r="D90" s="147"/>
      <c r="E90" s="147"/>
      <c r="F90" s="147"/>
      <c r="G90" s="147"/>
      <c r="H90" s="147"/>
      <c r="I90" s="147"/>
      <c r="J90" s="147"/>
      <c r="K90" s="147"/>
      <c r="L90" s="147"/>
      <c r="M90" s="147"/>
      <c r="N90" s="147"/>
      <c r="O90" s="147"/>
      <c r="P90" s="147"/>
      <c r="Q90" s="147"/>
      <c r="R90" s="147"/>
      <c r="S90" s="147"/>
      <c r="T90" s="147"/>
      <c r="U90" s="167" t="s">
        <v>491</v>
      </c>
      <c r="V90" s="146"/>
      <c r="W90" s="147"/>
      <c r="X90" s="147"/>
      <c r="Y90" s="147"/>
      <c r="Z90" s="147"/>
      <c r="AA90" s="147"/>
      <c r="AB90" s="147"/>
      <c r="AC90" s="147"/>
      <c r="AD90" s="147"/>
      <c r="AE90" s="147"/>
      <c r="AF90" s="69">
        <f t="shared" si="3"/>
        <v>-475202.92</v>
      </c>
    </row>
    <row r="91" spans="1:32" x14ac:dyDescent="0.3">
      <c r="A91" s="147"/>
      <c r="B91" s="147"/>
      <c r="C91" s="147"/>
      <c r="D91" s="147"/>
      <c r="E91" s="147"/>
      <c r="F91" s="147"/>
      <c r="G91" s="147"/>
      <c r="H91" s="147"/>
      <c r="I91" s="147"/>
      <c r="J91" s="147"/>
      <c r="K91" s="147"/>
      <c r="L91" s="147"/>
      <c r="M91" s="147"/>
      <c r="N91" s="147"/>
      <c r="O91" s="147"/>
      <c r="P91" s="147"/>
      <c r="Q91" s="147"/>
      <c r="R91" s="147"/>
      <c r="S91" s="147"/>
      <c r="T91" s="147"/>
      <c r="U91" s="167" t="s">
        <v>463</v>
      </c>
      <c r="V91" s="146">
        <f>+V78-V83-V84</f>
        <v>64648.85</v>
      </c>
      <c r="W91" s="147">
        <v>64648.849999999919</v>
      </c>
      <c r="X91" s="168">
        <f>+V91-W91</f>
        <v>8.0035533756017685E-11</v>
      </c>
      <c r="Y91" s="147"/>
      <c r="Z91" s="147"/>
      <c r="AA91" s="147"/>
      <c r="AB91" s="147"/>
      <c r="AC91" s="147"/>
      <c r="AD91" s="147"/>
      <c r="AE91" s="147"/>
      <c r="AF91" s="69">
        <f t="shared" si="3"/>
        <v>-475202.92</v>
      </c>
    </row>
    <row r="92" spans="1:32" x14ac:dyDescent="0.3">
      <c r="A92" s="147"/>
      <c r="B92" s="147"/>
      <c r="C92" s="147"/>
      <c r="D92" s="147"/>
      <c r="E92" s="147"/>
      <c r="F92" s="147"/>
      <c r="G92" s="147"/>
      <c r="H92" s="147"/>
      <c r="I92" s="147"/>
      <c r="J92" s="147"/>
      <c r="K92" s="147"/>
      <c r="L92" s="147"/>
      <c r="M92" s="147"/>
      <c r="N92" s="147"/>
      <c r="O92" s="147"/>
      <c r="P92" s="147"/>
      <c r="Q92" s="147"/>
      <c r="R92" s="147"/>
      <c r="S92" s="147"/>
      <c r="T92" s="147"/>
      <c r="U92" s="167" t="s">
        <v>66</v>
      </c>
      <c r="V92" s="146">
        <f>+V89+V91</f>
        <v>553088.82000000007</v>
      </c>
      <c r="W92" s="147"/>
      <c r="X92" s="147"/>
      <c r="Y92" s="147"/>
      <c r="Z92" s="147"/>
      <c r="AA92" s="147"/>
      <c r="AB92" s="147"/>
      <c r="AC92" s="147"/>
      <c r="AD92" s="147"/>
      <c r="AE92" s="147"/>
      <c r="AF92" s="69">
        <f t="shared" si="3"/>
        <v>-475202.92</v>
      </c>
    </row>
    <row r="93" spans="1:32" x14ac:dyDescent="0.3">
      <c r="A93" s="147"/>
      <c r="B93" s="147"/>
      <c r="C93" s="147"/>
      <c r="D93" s="147"/>
      <c r="E93" s="147"/>
      <c r="F93" s="147"/>
      <c r="G93" s="147"/>
      <c r="H93" s="147"/>
      <c r="I93" s="147"/>
      <c r="J93" s="147"/>
      <c r="K93" s="147"/>
      <c r="L93" s="147"/>
      <c r="M93" s="147"/>
      <c r="N93" s="147"/>
      <c r="O93" s="147"/>
      <c r="P93" s="147"/>
      <c r="Q93" s="147"/>
      <c r="R93" s="147"/>
      <c r="S93" s="147"/>
      <c r="T93" s="147"/>
      <c r="U93" s="167" t="s">
        <v>460</v>
      </c>
      <c r="V93" s="146">
        <v>553088.81999999995</v>
      </c>
      <c r="W93" s="147"/>
      <c r="X93" s="147"/>
      <c r="Y93" s="147"/>
      <c r="Z93" s="147"/>
      <c r="AA93" s="147"/>
      <c r="AB93" s="147"/>
      <c r="AC93" s="147"/>
      <c r="AD93" s="147"/>
      <c r="AE93" s="147"/>
      <c r="AF93" s="69">
        <f t="shared" si="3"/>
        <v>-475202.92</v>
      </c>
    </row>
    <row r="94" spans="1:32" ht="15" thickBot="1" x14ac:dyDescent="0.35">
      <c r="A94" s="147"/>
      <c r="B94" s="147"/>
      <c r="C94" s="147"/>
      <c r="D94" s="147"/>
      <c r="E94" s="147"/>
      <c r="F94" s="147"/>
      <c r="G94" s="147"/>
      <c r="H94" s="147"/>
      <c r="I94" s="147"/>
      <c r="J94" s="147"/>
      <c r="K94" s="147"/>
      <c r="L94" s="147"/>
      <c r="M94" s="147"/>
      <c r="N94" s="147"/>
      <c r="O94" s="147"/>
      <c r="P94" s="147"/>
      <c r="Q94" s="147"/>
      <c r="R94" s="147"/>
      <c r="S94" s="147"/>
      <c r="T94" s="147"/>
      <c r="U94" s="169" t="s">
        <v>65</v>
      </c>
      <c r="V94" s="170">
        <f>+V92-V93</f>
        <v>0</v>
      </c>
      <c r="W94" s="147"/>
      <c r="X94" s="147"/>
      <c r="Y94" s="147"/>
      <c r="Z94" s="147"/>
      <c r="AA94" s="147"/>
      <c r="AB94" s="147"/>
      <c r="AC94" s="147"/>
      <c r="AD94" s="147"/>
      <c r="AE94" s="147"/>
      <c r="AF94" s="69">
        <f t="shared" si="3"/>
        <v>-475202.92</v>
      </c>
    </row>
    <row r="95" spans="1:32" x14ac:dyDescent="0.3">
      <c r="A95" s="147"/>
      <c r="B95" s="147"/>
      <c r="C95" s="147"/>
      <c r="D95" s="147"/>
      <c r="E95" s="147"/>
      <c r="F95" s="147"/>
      <c r="G95" s="147"/>
      <c r="H95" s="147"/>
      <c r="I95" s="147"/>
      <c r="J95" s="147"/>
      <c r="K95" s="147"/>
      <c r="L95" s="147"/>
      <c r="M95" s="147"/>
      <c r="N95" s="147"/>
      <c r="O95" s="147"/>
      <c r="P95" s="147"/>
      <c r="Q95" s="147"/>
      <c r="R95" s="147"/>
      <c r="S95" s="147"/>
      <c r="T95" s="147"/>
      <c r="U95" s="147"/>
      <c r="V95" s="147"/>
      <c r="W95" s="147"/>
      <c r="X95" s="147"/>
      <c r="Y95" s="147"/>
      <c r="Z95" s="147"/>
      <c r="AA95" s="147"/>
      <c r="AB95" s="147"/>
      <c r="AC95" s="147"/>
      <c r="AD95" s="147"/>
      <c r="AE95" s="147"/>
      <c r="AF95" s="69">
        <f t="shared" si="3"/>
        <v>-475202.92</v>
      </c>
    </row>
    <row r="96" spans="1:32" x14ac:dyDescent="0.3">
      <c r="A96" s="147"/>
      <c r="B96" s="147"/>
      <c r="C96" s="147"/>
      <c r="D96" s="147"/>
      <c r="E96" s="147"/>
      <c r="F96" s="147"/>
      <c r="G96" s="147"/>
      <c r="H96" s="147"/>
      <c r="I96" s="147"/>
      <c r="J96" s="147"/>
      <c r="K96" s="147"/>
      <c r="L96" s="147"/>
      <c r="M96" s="147"/>
      <c r="N96" s="147"/>
      <c r="O96" s="147"/>
      <c r="P96" s="147"/>
      <c r="Q96" s="147"/>
      <c r="R96" s="147"/>
      <c r="S96" s="147"/>
      <c r="T96" s="147"/>
      <c r="U96" s="147"/>
      <c r="V96" s="147"/>
      <c r="W96" s="147"/>
      <c r="X96" s="147"/>
      <c r="Y96" s="147"/>
      <c r="Z96" s="147"/>
      <c r="AA96" s="147"/>
      <c r="AB96" s="147"/>
      <c r="AC96" s="147"/>
      <c r="AD96" s="147"/>
      <c r="AE96" s="147"/>
      <c r="AF96" s="69">
        <f t="shared" si="3"/>
        <v>-475202.92</v>
      </c>
    </row>
    <row r="97" spans="1:32" x14ac:dyDescent="0.3">
      <c r="A97" s="147"/>
      <c r="B97" s="147"/>
      <c r="C97" s="147"/>
      <c r="D97" s="147"/>
      <c r="E97" s="147"/>
      <c r="F97" s="147"/>
      <c r="G97" s="147"/>
      <c r="H97" s="147"/>
      <c r="I97" s="147"/>
      <c r="J97" s="147"/>
      <c r="K97" s="147"/>
      <c r="L97" s="147"/>
      <c r="M97" s="147"/>
      <c r="N97" s="147"/>
      <c r="O97" s="147"/>
      <c r="P97" s="147"/>
      <c r="Q97" s="147"/>
      <c r="R97" s="147"/>
      <c r="S97" s="147"/>
      <c r="T97" s="147"/>
      <c r="U97" s="147"/>
      <c r="V97" s="147"/>
      <c r="W97" s="147"/>
      <c r="X97" s="147"/>
      <c r="Y97" s="147"/>
      <c r="Z97" s="147"/>
      <c r="AA97" s="147"/>
      <c r="AB97" s="147"/>
      <c r="AC97" s="147"/>
      <c r="AD97" s="147"/>
      <c r="AE97" s="147"/>
      <c r="AF97" s="69">
        <f t="shared" si="3"/>
        <v>-475202.92</v>
      </c>
    </row>
  </sheetData>
  <mergeCells count="8">
    <mergeCell ref="AU7:AW7"/>
    <mergeCell ref="J8:K8"/>
    <mergeCell ref="AB8:AC8"/>
    <mergeCell ref="AJ9:AK9"/>
    <mergeCell ref="AL9:AM9"/>
    <mergeCell ref="AQ1:AR1"/>
    <mergeCell ref="AJ7:AN7"/>
    <mergeCell ref="AR7:AT7"/>
  </mergeCells>
  <conditionalFormatting sqref="D1:D7">
    <cfRule type="containsText" dxfId="35" priority="1" operator="containsText" text="SETUP iFUND">
      <formula>NOT(ISERROR(SEARCH(("SETUP iFUND"),(D1))))</formula>
    </cfRule>
    <cfRule type="containsText" dxfId="34" priority="2" operator="containsText" text="FOB">
      <formula>NOT(ISERROR(SEARCH(("FOB"),(D1))))</formula>
    </cfRule>
    <cfRule type="containsText" dxfId="33" priority="3" operator="containsText" text="2019 NYDD">
      <formula>NOT(ISERROR(SEARCH(("2019 NYDD"),(D1))))</formula>
    </cfRule>
    <cfRule type="containsText" dxfId="32" priority="4" operator="containsText" text="2019">
      <formula>NOT(ISERROR(SEARCH(("2019"),(D1))))</formula>
    </cfRule>
    <cfRule type="containsText" dxfId="31" priority="5" operator="containsText" text="SETUP CTNG">
      <formula>NOT(ISERROR(SEARCH(("SETUP CTNG"),(D1))))</formula>
    </cfRule>
    <cfRule type="containsText" dxfId="30" priority="6" operator="containsText" text="CEST UP">
      <formula>NOT(ISERROR(SEARCH(("CEST UP"),(D1))))</formula>
    </cfRule>
    <cfRule type="containsText" dxfId="29" priority="7" operator="containsText" text="CO">
      <formula>NOT(ISERROR(SEARCH(("CO"),(D1))))</formula>
    </cfRule>
    <cfRule type="containsText" dxfId="28" priority="8" operator="containsText" text="GIA">
      <formula>NOT(ISERROR(SEARCH(("GIA"),(D1))))</formula>
    </cfRule>
    <cfRule type="containsText" dxfId="27" priority="9" operator="containsText" text="SCIENCE CENTRUM">
      <formula>NOT(ISERROR(SEARCH(("SCIENCE CENTRUM"),(D1))))</formula>
    </cfRule>
    <cfRule type="containsText" dxfId="26" priority="10" operator="containsText" text="SETUP Non Refund">
      <formula>NOT(ISERROR(SEARCH(("SETUP Non Refund"),(D1))))</formula>
    </cfRule>
    <cfRule type="containsText" dxfId="25" priority="11" operator="containsText" text="SETUP PMB">
      <formula>NOT(ISERROR(SEARCH(("SETUP PMB"),(D1))))</formula>
    </cfRule>
    <cfRule type="containsText" dxfId="24" priority="12" operator="containsText" text="SETUP iFUND">
      <formula>NOT(ISERROR(SEARCH(("SETUP iFUND"),(D1))))</formula>
    </cfRule>
    <cfRule type="containsText" dxfId="23" priority="13" operator="containsText" text="SETUP 2.0 (GAA)">
      <formula>NOT(ISERROR(SEARCH(("SETUP 2.0 (GAA)"),(D1))))</formula>
    </cfRule>
    <cfRule type="containsText" dxfId="22" priority="14" operator="containsText" text="SETUP 2.0 P-3">
      <formula>NOT(ISERROR(SEARCH(("SETUP 2.0 P-3"),(D1))))</formula>
    </cfRule>
    <cfRule type="containsText" dxfId="21" priority="15" operator="containsText" text="SETUP 2.0 P-2">
      <formula>NOT(ISERROR(SEARCH(("SETUP 2.0 P-2"),(D1))))</formula>
    </cfRule>
    <cfRule type="containsText" dxfId="20" priority="16" operator="containsText" text="SETUP 2.0 P-1">
      <formula>NOT(ISERROR(SEARCH(("SETUP 2.0 P-1"),(D1))))</formula>
    </cfRule>
    <cfRule type="containsText" dxfId="19" priority="17" operator="containsText" text="ONELAB">
      <formula>NOT(ISERROR(SEARCH(("ONELAB"),(D1))))</formula>
    </cfRule>
    <cfRule type="containsText" dxfId="18" priority="18" operator="containsText" text="RML">
      <formula>NOT(ISERROR(SEARCH(("RML"),(D1))))</formula>
    </cfRule>
  </conditionalFormatting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436765A-752F-4017-8DA3-6C5844A0E6DD}">
  <dimension ref="A1:AX49"/>
  <sheetViews>
    <sheetView topLeftCell="A10" workbookViewId="0">
      <selection activeCell="H14" sqref="H14"/>
    </sheetView>
  </sheetViews>
  <sheetFormatPr defaultRowHeight="14.4" x14ac:dyDescent="0.3"/>
  <sheetData>
    <row r="1" spans="1:50" x14ac:dyDescent="0.3">
      <c r="A1" s="1" t="s">
        <v>0</v>
      </c>
      <c r="B1" s="1"/>
      <c r="C1" s="1"/>
      <c r="D1" s="2"/>
      <c r="E1" s="3"/>
      <c r="F1" s="4" t="s">
        <v>1</v>
      </c>
      <c r="G1" s="5"/>
      <c r="H1" s="3"/>
      <c r="I1" s="3"/>
      <c r="J1" s="3"/>
      <c r="K1" s="3"/>
      <c r="L1" s="3"/>
      <c r="M1" s="3"/>
      <c r="N1" s="6"/>
      <c r="O1" s="3"/>
      <c r="P1" s="6"/>
      <c r="Q1" s="6"/>
      <c r="R1" s="6"/>
      <c r="S1" s="6"/>
      <c r="T1" s="6"/>
      <c r="U1" s="6"/>
      <c r="V1" s="6"/>
      <c r="W1" s="7"/>
      <c r="X1" s="6" t="s">
        <v>2</v>
      </c>
      <c r="Y1" s="6"/>
      <c r="Z1" s="6"/>
      <c r="AA1" s="8"/>
      <c r="AB1" s="9"/>
      <c r="AC1" s="10"/>
      <c r="AD1" s="11" t="s">
        <v>3</v>
      </c>
      <c r="AE1" s="6"/>
      <c r="AF1" s="6"/>
      <c r="AG1" s="1"/>
      <c r="AH1" s="12" t="s">
        <v>4</v>
      </c>
      <c r="AI1" s="13"/>
      <c r="AJ1" s="13"/>
      <c r="AK1" s="13"/>
      <c r="AL1" s="13"/>
      <c r="AM1" s="13"/>
      <c r="AN1" s="14" t="str">
        <f>+TEXT(AM1-AK1,"h:mm")</f>
        <v>0:00</v>
      </c>
      <c r="AO1" s="13"/>
      <c r="AP1" s="15" t="s">
        <v>5</v>
      </c>
      <c r="AQ1" s="190" t="s">
        <v>6</v>
      </c>
      <c r="AR1" s="191"/>
      <c r="AS1" s="4"/>
      <c r="AT1" s="4"/>
      <c r="AU1" s="4"/>
      <c r="AV1" s="4"/>
      <c r="AW1" s="4"/>
      <c r="AX1" s="4"/>
    </row>
    <row r="2" spans="1:50" x14ac:dyDescent="0.3">
      <c r="A2" s="1" t="s">
        <v>7</v>
      </c>
      <c r="B2" s="4"/>
      <c r="C2" s="4"/>
      <c r="D2" s="2"/>
      <c r="E2" s="3"/>
      <c r="F2" s="4" t="s">
        <v>1</v>
      </c>
      <c r="G2" s="5"/>
      <c r="H2" s="3"/>
      <c r="I2" s="3"/>
      <c r="J2" s="3"/>
      <c r="K2" s="3"/>
      <c r="L2" s="3"/>
      <c r="M2" s="3"/>
      <c r="N2" s="6"/>
      <c r="O2" s="3"/>
      <c r="P2" s="6"/>
      <c r="Q2" s="6"/>
      <c r="R2" s="6"/>
      <c r="S2" s="6"/>
      <c r="T2" s="6"/>
      <c r="U2" s="6"/>
      <c r="V2" s="6"/>
      <c r="W2" s="16"/>
      <c r="X2" s="6" t="s">
        <v>8</v>
      </c>
      <c r="Y2" s="6"/>
      <c r="Z2" s="6"/>
      <c r="AA2" s="8"/>
      <c r="AB2" s="9"/>
      <c r="AC2" s="10"/>
      <c r="AD2" s="17"/>
      <c r="AE2" s="6"/>
      <c r="AF2" s="6"/>
      <c r="AG2" s="18" t="s">
        <v>9</v>
      </c>
      <c r="AH2" s="19">
        <v>4.1666666666666699E-2</v>
      </c>
      <c r="AI2" s="4"/>
      <c r="AJ2" s="20">
        <v>44599</v>
      </c>
      <c r="AK2" s="14">
        <v>0.46875</v>
      </c>
      <c r="AL2" s="20">
        <v>44599</v>
      </c>
      <c r="AM2" s="14">
        <v>0.60416666666666696</v>
      </c>
      <c r="AN2" s="14" t="str">
        <f>+TEXT(AM2-AK2-$AH$2,"h:mm")</f>
        <v>2:15</v>
      </c>
      <c r="AO2" s="4"/>
      <c r="AP2" s="21" t="s">
        <v>10</v>
      </c>
      <c r="AQ2" s="22" t="s">
        <v>11</v>
      </c>
      <c r="AR2" s="23">
        <v>0.33333333333333298</v>
      </c>
      <c r="AS2" s="4"/>
      <c r="AT2" s="4"/>
      <c r="AU2" s="4"/>
      <c r="AV2" s="4"/>
      <c r="AW2" s="4"/>
      <c r="AX2" s="4"/>
    </row>
    <row r="3" spans="1:50" x14ac:dyDescent="0.3">
      <c r="A3" s="1" t="s">
        <v>12</v>
      </c>
      <c r="B3" s="24"/>
      <c r="C3" s="4"/>
      <c r="D3" s="2"/>
      <c r="E3" s="3"/>
      <c r="F3" s="4" t="s">
        <v>1</v>
      </c>
      <c r="G3" s="5"/>
      <c r="H3" s="3"/>
      <c r="I3" s="3"/>
      <c r="J3" s="3"/>
      <c r="K3" s="3"/>
      <c r="L3" s="3"/>
      <c r="M3" s="3"/>
      <c r="N3" s="6"/>
      <c r="O3" s="3"/>
      <c r="P3" s="6"/>
      <c r="Q3" s="6"/>
      <c r="R3" s="6"/>
      <c r="S3" s="6"/>
      <c r="T3" s="6"/>
      <c r="U3" s="6"/>
      <c r="V3" s="6"/>
      <c r="W3" s="25"/>
      <c r="X3" s="6" t="s">
        <v>13</v>
      </c>
      <c r="Y3" s="6"/>
      <c r="Z3" s="6"/>
      <c r="AA3" s="8"/>
      <c r="AB3" s="9"/>
      <c r="AC3" s="10"/>
      <c r="AD3" s="17"/>
      <c r="AE3" s="6"/>
      <c r="AF3" s="6"/>
      <c r="AG3" s="26" t="s">
        <v>14</v>
      </c>
      <c r="AH3" s="27"/>
      <c r="AI3" s="4"/>
      <c r="AJ3" s="20">
        <v>44602</v>
      </c>
      <c r="AK3" s="14">
        <v>0.64236111111111105</v>
      </c>
      <c r="AL3" s="20">
        <v>44603</v>
      </c>
      <c r="AM3" s="14">
        <v>0.40625</v>
      </c>
      <c r="AN3" s="14">
        <f>+TEXT($AR$3-AK3,"h:mm")+TEXT(AM3-$AR$2,"h:mm")</f>
        <v>0.1388888888888889</v>
      </c>
      <c r="AO3" s="4"/>
      <c r="AP3" s="21" t="s">
        <v>15</v>
      </c>
      <c r="AQ3" s="22" t="s">
        <v>16</v>
      </c>
      <c r="AR3" s="23">
        <v>0.70833333333333304</v>
      </c>
      <c r="AS3" s="4"/>
      <c r="AT3" s="4"/>
      <c r="AU3" s="4"/>
      <c r="AV3" s="4"/>
      <c r="AW3" s="4"/>
      <c r="AX3" s="4"/>
    </row>
    <row r="4" spans="1:50" ht="15" thickBot="1" x14ac:dyDescent="0.35">
      <c r="A4" s="1"/>
      <c r="B4" s="24"/>
      <c r="C4" s="4"/>
      <c r="D4" s="2"/>
      <c r="E4" s="3"/>
      <c r="F4" s="4"/>
      <c r="G4" s="5"/>
      <c r="H4" s="3"/>
      <c r="I4" s="3"/>
      <c r="J4" s="3"/>
      <c r="K4" s="3"/>
      <c r="L4" s="3"/>
      <c r="M4" s="3"/>
      <c r="N4" s="6"/>
      <c r="O4" s="3"/>
      <c r="P4" s="6"/>
      <c r="Q4" s="6"/>
      <c r="R4" s="6"/>
      <c r="S4" s="6"/>
      <c r="T4" s="6"/>
      <c r="U4" s="6"/>
      <c r="V4" s="6"/>
      <c r="W4" s="28"/>
      <c r="X4" s="6" t="s">
        <v>17</v>
      </c>
      <c r="Y4" s="6"/>
      <c r="Z4" s="6"/>
      <c r="AA4" s="8"/>
      <c r="AB4" s="9"/>
      <c r="AC4" s="10"/>
      <c r="AD4" s="17"/>
      <c r="AE4" s="6"/>
      <c r="AF4" s="6"/>
      <c r="AG4" s="1"/>
      <c r="AH4" s="29"/>
      <c r="AI4" s="30"/>
      <c r="AJ4" s="31"/>
      <c r="AK4" s="32"/>
      <c r="AL4" s="31"/>
      <c r="AM4" s="32"/>
      <c r="AN4" s="32"/>
      <c r="AO4" s="30" t="str">
        <f>TEXT(AN4/12,"hh:mm:ss")</f>
        <v>00:00:00</v>
      </c>
      <c r="AP4" s="33" t="s">
        <v>18</v>
      </c>
      <c r="AQ4" s="34"/>
      <c r="AR4" s="14"/>
      <c r="AS4" s="4"/>
      <c r="AT4" s="4"/>
      <c r="AU4" s="4"/>
      <c r="AV4" s="4"/>
      <c r="AW4" s="4"/>
      <c r="AX4" s="4"/>
    </row>
    <row r="5" spans="1:50" x14ac:dyDescent="0.3">
      <c r="A5" s="35"/>
      <c r="B5" s="24"/>
      <c r="C5" s="4"/>
      <c r="D5" s="2"/>
      <c r="E5" s="3"/>
      <c r="F5" s="4"/>
      <c r="G5" s="5"/>
      <c r="H5" s="3"/>
      <c r="I5" s="3"/>
      <c r="J5" s="3"/>
      <c r="K5" s="3"/>
      <c r="L5" s="3"/>
      <c r="M5" s="3"/>
      <c r="N5" s="6"/>
      <c r="O5" s="3"/>
      <c r="P5" s="6"/>
      <c r="Q5" s="6"/>
      <c r="R5" s="6"/>
      <c r="S5" s="6"/>
      <c r="T5" s="6"/>
      <c r="U5" s="6"/>
      <c r="V5" s="6"/>
      <c r="W5" s="36"/>
      <c r="X5" s="6" t="s">
        <v>19</v>
      </c>
      <c r="Y5" s="6"/>
      <c r="Z5" s="6"/>
      <c r="AA5" s="8"/>
      <c r="AB5" s="9"/>
      <c r="AC5" s="10"/>
      <c r="AD5" s="17"/>
      <c r="AE5" s="6"/>
      <c r="AF5" s="6"/>
      <c r="AG5" s="1"/>
      <c r="AH5" s="34"/>
      <c r="AI5" s="4"/>
      <c r="AJ5" s="4"/>
      <c r="AK5" s="4"/>
      <c r="AL5" s="4"/>
      <c r="AM5" s="4"/>
      <c r="AN5" s="4"/>
      <c r="AO5" s="4"/>
      <c r="AP5" s="4"/>
      <c r="AQ5" s="34"/>
      <c r="AR5" s="4"/>
      <c r="AS5" s="4"/>
      <c r="AT5" s="4"/>
      <c r="AU5" s="4"/>
      <c r="AV5" s="4"/>
      <c r="AW5" s="4"/>
      <c r="AX5" s="4"/>
    </row>
    <row r="6" spans="1:50" ht="15" thickBot="1" x14ac:dyDescent="0.35">
      <c r="A6" s="35"/>
      <c r="B6" s="24"/>
      <c r="C6" s="4"/>
      <c r="D6" s="2"/>
      <c r="E6" s="3"/>
      <c r="F6" s="4"/>
      <c r="G6" s="5"/>
      <c r="H6" s="3"/>
      <c r="I6" s="3"/>
      <c r="J6" s="3"/>
      <c r="K6" s="3"/>
      <c r="L6" s="3"/>
      <c r="M6" s="3"/>
      <c r="N6" s="6"/>
      <c r="O6" s="3"/>
      <c r="P6" s="6"/>
      <c r="Q6" s="6"/>
      <c r="R6" s="6"/>
      <c r="S6" s="6"/>
      <c r="T6" s="6"/>
      <c r="U6" s="6"/>
      <c r="V6" s="6"/>
      <c r="W6" s="37"/>
      <c r="X6" s="6" t="s">
        <v>20</v>
      </c>
      <c r="Y6" s="6"/>
      <c r="Z6" s="6"/>
      <c r="AA6" s="8"/>
      <c r="AB6" s="9"/>
      <c r="AC6" s="10"/>
      <c r="AD6" s="17"/>
      <c r="AE6" s="6"/>
      <c r="AF6" s="6"/>
      <c r="AG6" s="1"/>
      <c r="AH6" s="34"/>
      <c r="AI6" s="4"/>
      <c r="AJ6" s="4"/>
      <c r="AK6" s="4"/>
      <c r="AL6" s="4"/>
      <c r="AM6" s="4"/>
      <c r="AN6" s="4"/>
      <c r="AO6" s="4"/>
      <c r="AP6" s="4"/>
      <c r="AQ6" s="34"/>
      <c r="AR6" s="4"/>
      <c r="AS6" s="4"/>
      <c r="AT6" s="4"/>
      <c r="AU6" s="4"/>
      <c r="AV6" s="4"/>
      <c r="AW6" s="4"/>
      <c r="AX6" s="4"/>
    </row>
    <row r="7" spans="1:50" ht="15" thickBot="1" x14ac:dyDescent="0.35">
      <c r="A7" s="1"/>
      <c r="B7" s="24"/>
      <c r="C7" s="4"/>
      <c r="D7" s="2"/>
      <c r="E7" s="3"/>
      <c r="F7" s="4"/>
      <c r="G7" s="5"/>
      <c r="H7" s="3"/>
      <c r="I7" s="3"/>
      <c r="J7" s="3"/>
      <c r="K7" s="3"/>
      <c r="L7" s="3"/>
      <c r="M7" s="3"/>
      <c r="N7" s="6"/>
      <c r="O7" s="3"/>
      <c r="P7" s="6"/>
      <c r="Q7" s="6"/>
      <c r="R7" s="6"/>
      <c r="S7" s="6"/>
      <c r="T7" s="6"/>
      <c r="U7" s="6"/>
      <c r="V7" s="6"/>
      <c r="W7" s="6"/>
      <c r="X7" s="6"/>
      <c r="Y7" s="6"/>
      <c r="Z7" s="6"/>
      <c r="AA7" s="8"/>
      <c r="AB7" s="9"/>
      <c r="AC7" s="10"/>
      <c r="AD7" s="17"/>
      <c r="AE7" s="38" t="s">
        <v>21</v>
      </c>
      <c r="AF7" s="6"/>
      <c r="AG7" s="1"/>
      <c r="AH7" s="34"/>
      <c r="AI7" s="4"/>
      <c r="AJ7" s="192" t="s">
        <v>22</v>
      </c>
      <c r="AK7" s="193"/>
      <c r="AL7" s="193"/>
      <c r="AM7" s="193"/>
      <c r="AN7" s="194"/>
      <c r="AO7" s="39" t="s">
        <v>23</v>
      </c>
      <c r="AP7" s="4"/>
      <c r="AQ7" s="40" t="s">
        <v>24</v>
      </c>
      <c r="AR7" s="195" t="s">
        <v>25</v>
      </c>
      <c r="AS7" s="196"/>
      <c r="AT7" s="191"/>
      <c r="AU7" s="197" t="s">
        <v>26</v>
      </c>
      <c r="AV7" s="196"/>
      <c r="AW7" s="191"/>
      <c r="AX7" s="4"/>
    </row>
    <row r="8" spans="1:50" ht="79.8" x14ac:dyDescent="0.3">
      <c r="A8" s="43" t="s">
        <v>27</v>
      </c>
      <c r="B8" s="24"/>
      <c r="C8" s="43" t="s">
        <v>28</v>
      </c>
      <c r="D8" s="43" t="s">
        <v>29</v>
      </c>
      <c r="E8" s="38" t="s">
        <v>30</v>
      </c>
      <c r="F8" s="43" t="s">
        <v>31</v>
      </c>
      <c r="G8" s="44"/>
      <c r="H8" s="38"/>
      <c r="I8" s="38"/>
      <c r="J8" s="198" t="s">
        <v>32</v>
      </c>
      <c r="K8" s="199"/>
      <c r="M8" s="38"/>
      <c r="N8" s="38" t="s">
        <v>33</v>
      </c>
      <c r="O8" s="38"/>
      <c r="P8" s="45" t="s">
        <v>34</v>
      </c>
      <c r="Q8" s="38" t="s">
        <v>35</v>
      </c>
      <c r="R8" s="38" t="s">
        <v>36</v>
      </c>
      <c r="S8" s="45" t="s">
        <v>37</v>
      </c>
      <c r="T8" s="46" t="s">
        <v>38</v>
      </c>
      <c r="U8" s="38" t="s">
        <v>39</v>
      </c>
      <c r="V8" s="38" t="s">
        <v>40</v>
      </c>
      <c r="W8" s="38" t="s">
        <v>39</v>
      </c>
      <c r="X8" s="38" t="s">
        <v>40</v>
      </c>
      <c r="Y8" s="38" t="s">
        <v>41</v>
      </c>
      <c r="Z8" s="38" t="s">
        <v>42</v>
      </c>
      <c r="AA8" s="47" t="s">
        <v>43</v>
      </c>
      <c r="AB8" s="200" t="s">
        <v>44</v>
      </c>
      <c r="AC8" s="199"/>
      <c r="AD8" s="48" t="s">
        <v>45</v>
      </c>
      <c r="AE8" s="38" t="s">
        <v>46</v>
      </c>
      <c r="AF8" s="38" t="s">
        <v>47</v>
      </c>
      <c r="AG8" s="35" t="s">
        <v>48</v>
      </c>
      <c r="AH8" s="43" t="s">
        <v>49</v>
      </c>
      <c r="AI8" s="4"/>
      <c r="AJ8" s="49" t="s">
        <v>43</v>
      </c>
      <c r="AK8" s="50" t="s">
        <v>50</v>
      </c>
      <c r="AL8" s="50" t="s">
        <v>43</v>
      </c>
      <c r="AM8" s="50" t="s">
        <v>51</v>
      </c>
      <c r="AN8" s="51" t="s">
        <v>52</v>
      </c>
      <c r="AO8" s="52" t="s">
        <v>53</v>
      </c>
      <c r="AP8" s="53" t="s">
        <v>54</v>
      </c>
      <c r="AQ8" s="40" t="s">
        <v>55</v>
      </c>
      <c r="AR8" s="41" t="s">
        <v>56</v>
      </c>
      <c r="AS8" s="54" t="s">
        <v>57</v>
      </c>
      <c r="AT8" s="55" t="s">
        <v>58</v>
      </c>
      <c r="AU8" s="42" t="s">
        <v>56</v>
      </c>
      <c r="AV8" s="54" t="s">
        <v>57</v>
      </c>
      <c r="AW8" s="55" t="s">
        <v>58</v>
      </c>
      <c r="AX8" s="4"/>
    </row>
    <row r="9" spans="1:50" ht="15" thickBot="1" x14ac:dyDescent="0.35">
      <c r="A9" s="1"/>
      <c r="B9" s="24"/>
      <c r="C9" s="4"/>
      <c r="D9" s="56"/>
      <c r="E9" s="34"/>
      <c r="F9" s="4"/>
      <c r="G9" s="5" t="s">
        <v>59</v>
      </c>
      <c r="H9" s="3" t="s">
        <v>60</v>
      </c>
      <c r="I9" s="3" t="s">
        <v>61</v>
      </c>
      <c r="J9" s="3" t="s">
        <v>62</v>
      </c>
      <c r="K9" s="3" t="s">
        <v>63</v>
      </c>
      <c r="L9" s="3" t="s">
        <v>64</v>
      </c>
      <c r="M9" s="3" t="s">
        <v>65</v>
      </c>
      <c r="N9" s="3" t="s">
        <v>66</v>
      </c>
      <c r="O9" s="3" t="s">
        <v>67</v>
      </c>
      <c r="P9" s="57" t="s">
        <v>68</v>
      </c>
      <c r="Q9" s="6"/>
      <c r="R9" s="6"/>
      <c r="S9" s="6"/>
      <c r="T9" s="58"/>
      <c r="U9" s="3" t="s">
        <v>69</v>
      </c>
      <c r="V9" s="3" t="s">
        <v>69</v>
      </c>
      <c r="W9" s="3" t="s">
        <v>70</v>
      </c>
      <c r="X9" s="3" t="s">
        <v>70</v>
      </c>
      <c r="Y9" s="6"/>
      <c r="Z9" s="6"/>
      <c r="AA9" s="8"/>
      <c r="AB9" s="9"/>
      <c r="AC9" s="10"/>
      <c r="AD9" s="17"/>
      <c r="AE9" s="6"/>
      <c r="AF9" s="4"/>
      <c r="AG9" s="1"/>
      <c r="AH9" s="4"/>
      <c r="AI9" s="4"/>
      <c r="AJ9" s="187" t="s">
        <v>71</v>
      </c>
      <c r="AK9" s="188"/>
      <c r="AL9" s="189" t="s">
        <v>72</v>
      </c>
      <c r="AM9" s="188"/>
      <c r="AN9" s="59" t="s">
        <v>73</v>
      </c>
      <c r="AO9" s="60" t="s">
        <v>73</v>
      </c>
      <c r="AP9" s="4"/>
      <c r="AQ9" s="61" t="s">
        <v>74</v>
      </c>
      <c r="AR9" s="62"/>
      <c r="AS9" s="4"/>
      <c r="AT9" s="4"/>
      <c r="AU9" s="4"/>
      <c r="AV9" s="4"/>
      <c r="AW9" s="4"/>
      <c r="AX9" s="4"/>
    </row>
    <row r="10" spans="1:50" x14ac:dyDescent="0.3">
      <c r="A10" s="63"/>
      <c r="B10" s="64"/>
      <c r="C10" s="65"/>
      <c r="D10" s="66"/>
      <c r="E10" s="67"/>
      <c r="F10" s="65"/>
      <c r="G10" s="68"/>
      <c r="H10" s="69"/>
      <c r="I10" s="69"/>
      <c r="J10" s="69"/>
      <c r="K10" s="69"/>
      <c r="L10" s="69"/>
      <c r="M10" s="69"/>
      <c r="N10" s="69"/>
      <c r="O10" s="69"/>
      <c r="P10" s="69"/>
      <c r="Q10" s="69"/>
      <c r="R10" s="69"/>
      <c r="S10" s="69"/>
      <c r="T10" s="69"/>
      <c r="U10" s="69"/>
      <c r="V10" s="69"/>
      <c r="W10" s="69"/>
      <c r="X10" s="69"/>
      <c r="Y10" s="69"/>
      <c r="Z10" s="69"/>
      <c r="AA10" s="70"/>
      <c r="AB10" s="71"/>
      <c r="AC10" s="72"/>
      <c r="AD10" s="73"/>
      <c r="AE10" s="69"/>
      <c r="AF10" s="69"/>
      <c r="AG10" s="1"/>
      <c r="AH10" s="4"/>
      <c r="AI10" s="4"/>
      <c r="AJ10" s="4"/>
      <c r="AK10" s="4"/>
      <c r="AL10" s="4"/>
      <c r="AM10" s="4"/>
      <c r="AN10" s="4"/>
      <c r="AO10" s="4"/>
      <c r="AP10" s="4"/>
      <c r="AQ10" s="34"/>
      <c r="AR10" s="4"/>
      <c r="AS10" s="4"/>
      <c r="AT10" s="4"/>
      <c r="AU10" s="4"/>
      <c r="AV10" s="4"/>
      <c r="AW10" s="4"/>
      <c r="AX10" s="4"/>
    </row>
    <row r="11" spans="1:50" x14ac:dyDescent="0.3">
      <c r="A11" s="63"/>
      <c r="B11" s="64"/>
      <c r="C11" s="74" t="s">
        <v>75</v>
      </c>
      <c r="D11" s="66" t="s">
        <v>76</v>
      </c>
      <c r="E11" s="66" t="s">
        <v>76</v>
      </c>
      <c r="F11" s="65"/>
      <c r="G11" s="68"/>
      <c r="H11" s="69"/>
      <c r="I11" s="69"/>
      <c r="J11" s="69"/>
      <c r="K11" s="69"/>
      <c r="L11" s="69"/>
      <c r="M11" s="69"/>
      <c r="N11" s="69"/>
      <c r="O11" s="69"/>
      <c r="P11" s="69"/>
      <c r="Q11" s="69"/>
      <c r="R11" s="69"/>
      <c r="S11" s="69"/>
      <c r="T11" s="69"/>
      <c r="U11" s="69"/>
      <c r="V11" s="69"/>
      <c r="W11" s="69"/>
      <c r="X11" s="69"/>
      <c r="Y11" s="69"/>
      <c r="Z11" s="69"/>
      <c r="AA11" s="70"/>
      <c r="AB11" s="71"/>
      <c r="AC11" s="72"/>
      <c r="AD11" s="73"/>
      <c r="AE11" s="69">
        <f>T11-N11</f>
        <v>0</v>
      </c>
      <c r="AF11" s="69"/>
      <c r="AG11" s="1"/>
      <c r="AH11" s="4"/>
      <c r="AI11" s="4"/>
      <c r="AJ11" s="4"/>
      <c r="AK11" s="4"/>
      <c r="AL11" s="4"/>
      <c r="AM11" s="4"/>
      <c r="AN11" s="4"/>
      <c r="AO11" s="4"/>
      <c r="AP11" s="4"/>
      <c r="AQ11" s="34"/>
      <c r="AR11" s="4"/>
      <c r="AS11" s="4"/>
      <c r="AT11" s="4"/>
      <c r="AU11" s="4"/>
      <c r="AV11" s="4"/>
      <c r="AW11" s="4"/>
      <c r="AX11" s="4"/>
    </row>
    <row r="12" spans="1:50" x14ac:dyDescent="0.3">
      <c r="A12" s="63"/>
      <c r="B12" s="64"/>
      <c r="C12" s="65"/>
      <c r="D12" s="66"/>
      <c r="E12" s="67"/>
      <c r="F12" s="65"/>
      <c r="G12" s="68"/>
      <c r="H12" s="69"/>
      <c r="I12" s="69"/>
      <c r="J12" s="69"/>
      <c r="K12" s="69"/>
      <c r="L12" s="69"/>
      <c r="M12" s="69"/>
      <c r="N12" s="69"/>
      <c r="O12" s="69"/>
      <c r="P12" s="69"/>
      <c r="Q12" s="69"/>
      <c r="R12" s="69"/>
      <c r="S12" s="69"/>
      <c r="T12" s="69"/>
      <c r="U12" s="69"/>
      <c r="V12" s="69"/>
      <c r="W12" s="69"/>
      <c r="X12" s="69"/>
      <c r="Y12" s="69"/>
      <c r="Z12" s="69"/>
      <c r="AA12" s="70"/>
      <c r="AB12" s="71"/>
      <c r="AC12" s="72"/>
      <c r="AD12" s="73"/>
      <c r="AE12" s="69"/>
      <c r="AF12" s="69"/>
      <c r="AG12" s="1"/>
      <c r="AH12" s="4"/>
      <c r="AI12" s="4"/>
      <c r="AJ12" s="4"/>
      <c r="AK12" s="4"/>
      <c r="AL12" s="4"/>
      <c r="AM12" s="4"/>
      <c r="AN12" s="4"/>
      <c r="AO12" s="4"/>
      <c r="AP12" s="4"/>
      <c r="AQ12" s="34"/>
      <c r="AR12" s="4"/>
      <c r="AS12" s="4"/>
      <c r="AT12" s="4"/>
      <c r="AU12" s="4"/>
      <c r="AV12" s="4"/>
      <c r="AW12" s="4"/>
      <c r="AX12" s="4"/>
    </row>
    <row r="13" spans="1:50" x14ac:dyDescent="0.3">
      <c r="A13" s="63"/>
      <c r="B13" s="64"/>
      <c r="C13" s="65"/>
      <c r="D13" s="66"/>
      <c r="E13" s="67"/>
      <c r="F13" s="65"/>
      <c r="G13" s="68"/>
      <c r="H13" s="69"/>
      <c r="I13" s="69"/>
      <c r="J13" s="69"/>
      <c r="K13" s="69"/>
      <c r="L13" s="69"/>
      <c r="M13" s="6"/>
      <c r="N13" s="6"/>
      <c r="O13" s="69"/>
      <c r="P13" s="69"/>
      <c r="Q13" s="69"/>
      <c r="R13" s="6"/>
      <c r="S13" s="69"/>
      <c r="T13" s="69"/>
      <c r="U13" s="69"/>
      <c r="V13" s="69"/>
      <c r="W13" s="69"/>
      <c r="X13" s="69"/>
      <c r="Y13" s="69"/>
      <c r="Z13" s="69"/>
      <c r="AA13" s="70"/>
      <c r="AB13" s="71"/>
      <c r="AC13" s="72"/>
      <c r="AD13" s="73"/>
      <c r="AE13" s="69"/>
      <c r="AF13" s="69">
        <f t="shared" ref="AF13:AF49" si="0">AF12+AD13-AE13</f>
        <v>0</v>
      </c>
      <c r="AG13" s="1"/>
      <c r="AH13" s="4"/>
      <c r="AI13" s="4"/>
      <c r="AJ13" s="4"/>
      <c r="AK13" s="4"/>
      <c r="AL13" s="4"/>
      <c r="AM13" s="4"/>
      <c r="AN13" s="4"/>
      <c r="AO13" s="4"/>
      <c r="AP13" s="4"/>
      <c r="AQ13" s="34"/>
      <c r="AR13" s="4"/>
      <c r="AS13" s="4"/>
      <c r="AT13" s="4"/>
      <c r="AU13" s="4"/>
      <c r="AV13" s="4"/>
      <c r="AW13" s="4"/>
      <c r="AX13" s="4"/>
    </row>
    <row r="14" spans="1:50" x14ac:dyDescent="0.3">
      <c r="A14" s="75" t="s">
        <v>80</v>
      </c>
      <c r="B14" s="64" t="s">
        <v>92</v>
      </c>
      <c r="C14" s="65" t="s">
        <v>82</v>
      </c>
      <c r="D14" s="69" t="s">
        <v>93</v>
      </c>
      <c r="E14" s="63" t="s">
        <v>492</v>
      </c>
      <c r="F14" s="65" t="s">
        <v>95</v>
      </c>
      <c r="G14" s="68" t="s">
        <v>79</v>
      </c>
      <c r="H14" s="69"/>
      <c r="I14" s="69"/>
      <c r="J14" s="69">
        <v>49.02</v>
      </c>
      <c r="K14" s="69"/>
      <c r="L14" s="69"/>
      <c r="M14" s="73">
        <v>0</v>
      </c>
      <c r="N14" s="69">
        <v>49.02</v>
      </c>
      <c r="O14" s="69"/>
      <c r="P14" s="69"/>
      <c r="Q14" s="69"/>
      <c r="R14" s="69">
        <v>49.02</v>
      </c>
      <c r="S14" s="69"/>
      <c r="T14" s="171">
        <v>1969.37</v>
      </c>
      <c r="U14" s="69"/>
      <c r="V14" s="69"/>
      <c r="W14" s="69"/>
      <c r="X14" s="69"/>
      <c r="Y14" s="69">
        <v>1969.37</v>
      </c>
      <c r="Z14" s="69">
        <v>1920.35</v>
      </c>
      <c r="AA14" s="70">
        <v>46031</v>
      </c>
      <c r="AB14" s="76" t="s">
        <v>80</v>
      </c>
      <c r="AC14" s="72" t="s">
        <v>96</v>
      </c>
      <c r="AD14" s="73"/>
      <c r="AE14" s="69">
        <v>1920.35</v>
      </c>
      <c r="AF14" s="69">
        <f t="shared" si="0"/>
        <v>-1920.35</v>
      </c>
      <c r="AG14" s="1">
        <v>50204020</v>
      </c>
      <c r="AH14" s="6"/>
      <c r="AI14" s="4"/>
      <c r="AJ14" s="77">
        <v>46031</v>
      </c>
      <c r="AK14" s="78">
        <v>0.45833333333333331</v>
      </c>
      <c r="AL14" s="77">
        <v>46031</v>
      </c>
      <c r="AM14" s="78">
        <v>0.66319444444444442</v>
      </c>
      <c r="AN14" s="14" t="s">
        <v>471</v>
      </c>
      <c r="AO14" s="14">
        <v>2.0399305555555556E-2</v>
      </c>
      <c r="AP14" s="4"/>
      <c r="AQ14" s="34" t="s">
        <v>87</v>
      </c>
      <c r="AR14" s="34"/>
      <c r="AS14" s="69">
        <v>1920.35</v>
      </c>
      <c r="AT14" s="34"/>
      <c r="AU14" s="34"/>
      <c r="AV14" s="34"/>
      <c r="AW14" s="34"/>
      <c r="AX14" s="4"/>
    </row>
    <row r="15" spans="1:50" x14ac:dyDescent="0.3">
      <c r="A15" s="75" t="s">
        <v>80</v>
      </c>
      <c r="B15" s="65" t="s">
        <v>215</v>
      </c>
      <c r="C15" s="65" t="s">
        <v>216</v>
      </c>
      <c r="D15" s="69" t="s">
        <v>93</v>
      </c>
      <c r="E15" s="63" t="s">
        <v>217</v>
      </c>
      <c r="F15" s="65" t="s">
        <v>218</v>
      </c>
      <c r="G15" s="68" t="s">
        <v>79</v>
      </c>
      <c r="H15" s="73"/>
      <c r="I15" s="73">
        <v>101.05</v>
      </c>
      <c r="J15" s="73">
        <v>252.63</v>
      </c>
      <c r="K15" s="73"/>
      <c r="L15" s="73"/>
      <c r="M15" s="73">
        <v>0</v>
      </c>
      <c r="N15" s="73">
        <v>353.68</v>
      </c>
      <c r="O15" s="73"/>
      <c r="P15" s="73"/>
      <c r="Q15" s="73"/>
      <c r="R15" s="73">
        <v>353.68</v>
      </c>
      <c r="S15" s="73"/>
      <c r="T15" s="73">
        <v>5658.96</v>
      </c>
      <c r="U15" s="73"/>
      <c r="V15" s="73"/>
      <c r="W15" s="73"/>
      <c r="X15" s="73"/>
      <c r="Y15" s="73">
        <v>5658.96</v>
      </c>
      <c r="Z15" s="73">
        <v>5305.28</v>
      </c>
      <c r="AA15" s="70">
        <v>46035</v>
      </c>
      <c r="AB15" s="71" t="s">
        <v>80</v>
      </c>
      <c r="AC15" s="72" t="s">
        <v>219</v>
      </c>
      <c r="AD15" s="73"/>
      <c r="AE15" s="69">
        <v>5305.28</v>
      </c>
      <c r="AF15" s="69">
        <f t="shared" si="0"/>
        <v>-7225.6299999999992</v>
      </c>
      <c r="AG15" s="1">
        <v>50203090</v>
      </c>
      <c r="AH15" s="6"/>
      <c r="AI15" s="4"/>
      <c r="AJ15" s="77">
        <v>46035</v>
      </c>
      <c r="AK15" s="78">
        <v>0.41319444444444442</v>
      </c>
      <c r="AL15" s="77">
        <v>46035</v>
      </c>
      <c r="AM15" s="78">
        <v>0.625</v>
      </c>
      <c r="AN15" s="14" t="s">
        <v>472</v>
      </c>
      <c r="AO15" s="14">
        <v>1.7013888888888891E-2</v>
      </c>
      <c r="AP15" s="4"/>
      <c r="AQ15" s="34" t="s">
        <v>102</v>
      </c>
      <c r="AR15" s="34"/>
      <c r="AS15" s="73">
        <v>5305.28</v>
      </c>
      <c r="AT15" s="34"/>
      <c r="AU15" s="34"/>
      <c r="AV15" s="34"/>
      <c r="AW15" s="34"/>
      <c r="AX15" s="4"/>
    </row>
    <row r="16" spans="1:50" x14ac:dyDescent="0.3">
      <c r="A16" s="75" t="s">
        <v>80</v>
      </c>
      <c r="B16" s="64" t="s">
        <v>355</v>
      </c>
      <c r="C16" s="65" t="s">
        <v>356</v>
      </c>
      <c r="D16" s="69" t="s">
        <v>93</v>
      </c>
      <c r="E16" s="63" t="s">
        <v>493</v>
      </c>
      <c r="F16" s="65" t="s">
        <v>358</v>
      </c>
      <c r="G16" s="68" t="s">
        <v>79</v>
      </c>
      <c r="H16" s="73"/>
      <c r="I16" s="73"/>
      <c r="J16" s="73"/>
      <c r="K16" s="73"/>
      <c r="L16" s="73"/>
      <c r="M16" s="73">
        <v>0</v>
      </c>
      <c r="N16" s="73">
        <v>0</v>
      </c>
      <c r="O16" s="73"/>
      <c r="P16" s="73"/>
      <c r="Q16" s="73"/>
      <c r="R16" s="73">
        <v>0</v>
      </c>
      <c r="S16" s="73"/>
      <c r="T16" s="172">
        <v>9181</v>
      </c>
      <c r="U16" s="73"/>
      <c r="V16" s="73"/>
      <c r="W16" s="73"/>
      <c r="X16" s="73"/>
      <c r="Y16" s="73">
        <v>9181</v>
      </c>
      <c r="Z16" s="73">
        <v>9181</v>
      </c>
      <c r="AA16" s="70">
        <v>46050</v>
      </c>
      <c r="AB16" s="71" t="s">
        <v>80</v>
      </c>
      <c r="AC16" s="72" t="s">
        <v>359</v>
      </c>
      <c r="AD16" s="73"/>
      <c r="AE16" s="69">
        <v>9181</v>
      </c>
      <c r="AF16" s="69">
        <f t="shared" si="0"/>
        <v>-16406.629999999997</v>
      </c>
      <c r="AG16" s="1">
        <v>19902990</v>
      </c>
      <c r="AH16" s="6"/>
      <c r="AI16" s="4"/>
      <c r="AJ16" s="77">
        <v>46050</v>
      </c>
      <c r="AK16" s="78">
        <v>0.44097222222222227</v>
      </c>
      <c r="AL16" s="77">
        <v>46050</v>
      </c>
      <c r="AM16" s="78">
        <v>0.61111111111111105</v>
      </c>
      <c r="AN16" s="14" t="s">
        <v>479</v>
      </c>
      <c r="AO16" s="14">
        <v>1.83531746031746E-2</v>
      </c>
      <c r="AP16" s="4"/>
      <c r="AQ16" s="34" t="s">
        <v>87</v>
      </c>
      <c r="AR16" s="34"/>
      <c r="AS16" s="73">
        <v>9181</v>
      </c>
      <c r="AT16" s="34"/>
      <c r="AU16" s="34"/>
      <c r="AV16" s="34"/>
      <c r="AW16" s="34"/>
      <c r="AX16" s="4"/>
    </row>
    <row r="17" spans="1:50" x14ac:dyDescent="0.3">
      <c r="A17" s="75" t="s">
        <v>80</v>
      </c>
      <c r="B17" s="64" t="s">
        <v>360</v>
      </c>
      <c r="C17" s="65" t="s">
        <v>356</v>
      </c>
      <c r="D17" s="69" t="s">
        <v>93</v>
      </c>
      <c r="E17" s="63" t="s">
        <v>494</v>
      </c>
      <c r="F17" s="65" t="s">
        <v>362</v>
      </c>
      <c r="G17" s="68" t="s">
        <v>79</v>
      </c>
      <c r="H17" s="73"/>
      <c r="I17" s="73"/>
      <c r="J17" s="73"/>
      <c r="K17" s="73"/>
      <c r="L17" s="73"/>
      <c r="M17" s="73">
        <v>0</v>
      </c>
      <c r="N17" s="73">
        <v>0</v>
      </c>
      <c r="O17" s="73"/>
      <c r="P17" s="73"/>
      <c r="Q17" s="73"/>
      <c r="R17" s="73">
        <v>0</v>
      </c>
      <c r="S17" s="73"/>
      <c r="T17" s="172">
        <v>20597.75</v>
      </c>
      <c r="U17" s="73"/>
      <c r="V17" s="73"/>
      <c r="W17" s="73"/>
      <c r="X17" s="73"/>
      <c r="Y17" s="73">
        <v>20597.75</v>
      </c>
      <c r="Z17" s="73">
        <v>20597.75</v>
      </c>
      <c r="AA17" s="70">
        <v>46050</v>
      </c>
      <c r="AB17" s="71" t="s">
        <v>80</v>
      </c>
      <c r="AC17" s="72" t="s">
        <v>363</v>
      </c>
      <c r="AD17" s="73"/>
      <c r="AE17" s="69">
        <v>20597.75</v>
      </c>
      <c r="AF17" s="69">
        <f t="shared" si="0"/>
        <v>-37004.379999999997</v>
      </c>
      <c r="AG17" s="1">
        <v>19902990</v>
      </c>
      <c r="AH17" s="6"/>
      <c r="AI17" s="4"/>
      <c r="AJ17" s="77">
        <v>46050</v>
      </c>
      <c r="AK17" s="78">
        <v>0.44097222222222227</v>
      </c>
      <c r="AL17" s="77">
        <v>46050</v>
      </c>
      <c r="AM17" s="78">
        <v>0.61111111111111105</v>
      </c>
      <c r="AN17" s="14" t="s">
        <v>479</v>
      </c>
      <c r="AO17" s="14">
        <v>1.83531746031746E-2</v>
      </c>
      <c r="AP17" s="4"/>
      <c r="AQ17" s="34" t="s">
        <v>87</v>
      </c>
      <c r="AR17" s="34"/>
      <c r="AS17" s="73">
        <v>20597.75</v>
      </c>
      <c r="AT17" s="34"/>
      <c r="AU17" s="34"/>
      <c r="AV17" s="34"/>
      <c r="AW17" s="34"/>
      <c r="AX17" s="4"/>
    </row>
    <row r="18" spans="1:50" x14ac:dyDescent="0.3">
      <c r="A18" s="75" t="s">
        <v>80</v>
      </c>
      <c r="B18" s="64" t="s">
        <v>371</v>
      </c>
      <c r="C18" s="65" t="s">
        <v>82</v>
      </c>
      <c r="D18" s="69" t="s">
        <v>93</v>
      </c>
      <c r="E18" s="63" t="s">
        <v>495</v>
      </c>
      <c r="F18" s="65" t="s">
        <v>373</v>
      </c>
      <c r="G18" s="68" t="s">
        <v>79</v>
      </c>
      <c r="H18" s="73"/>
      <c r="I18" s="73"/>
      <c r="J18" s="73">
        <v>64.319999999999993</v>
      </c>
      <c r="K18" s="73"/>
      <c r="L18" s="73"/>
      <c r="M18" s="73">
        <v>0</v>
      </c>
      <c r="N18" s="73">
        <v>64.319999999999993</v>
      </c>
      <c r="O18" s="73"/>
      <c r="P18" s="73"/>
      <c r="Q18" s="73"/>
      <c r="R18" s="73">
        <v>64.319999999999993</v>
      </c>
      <c r="S18" s="73"/>
      <c r="T18" s="172">
        <v>2603.37</v>
      </c>
      <c r="U18" s="73"/>
      <c r="V18" s="73"/>
      <c r="W18" s="73"/>
      <c r="X18" s="73"/>
      <c r="Y18" s="73">
        <v>2603.37</v>
      </c>
      <c r="Z18" s="73">
        <v>2539.0500000000002</v>
      </c>
      <c r="AA18" s="70">
        <v>46050</v>
      </c>
      <c r="AB18" s="71" t="s">
        <v>80</v>
      </c>
      <c r="AC18" s="72" t="s">
        <v>374</v>
      </c>
      <c r="AD18" s="73"/>
      <c r="AE18" s="69">
        <v>2539.0499999999997</v>
      </c>
      <c r="AF18" s="69">
        <f t="shared" si="0"/>
        <v>-39543.43</v>
      </c>
      <c r="AG18" s="1">
        <v>50204020</v>
      </c>
      <c r="AH18" s="6"/>
      <c r="AI18" s="4"/>
      <c r="AJ18" s="77">
        <v>46050</v>
      </c>
      <c r="AK18" s="78">
        <v>0.62638888888888888</v>
      </c>
      <c r="AL18" s="77">
        <v>46050</v>
      </c>
      <c r="AM18" s="78">
        <v>0.69930555555555562</v>
      </c>
      <c r="AN18" s="14" t="s">
        <v>496</v>
      </c>
      <c r="AO18" s="14">
        <v>7.2916666666666671E-2</v>
      </c>
      <c r="AP18" s="4"/>
      <c r="AQ18" s="34" t="s">
        <v>87</v>
      </c>
      <c r="AR18" s="34"/>
      <c r="AS18" s="73">
        <v>2539.0500000000002</v>
      </c>
      <c r="AT18" s="34"/>
      <c r="AU18" s="34"/>
      <c r="AV18" s="34"/>
      <c r="AW18" s="34"/>
      <c r="AX18" s="4"/>
    </row>
    <row r="19" spans="1:50" x14ac:dyDescent="0.3">
      <c r="A19" s="63"/>
      <c r="B19" s="65"/>
      <c r="C19" s="65"/>
      <c r="D19" s="69"/>
      <c r="E19" s="63"/>
      <c r="F19" s="65"/>
      <c r="G19" s="68"/>
      <c r="H19" s="73"/>
      <c r="I19" s="73"/>
      <c r="J19" s="73"/>
      <c r="K19" s="73"/>
      <c r="L19" s="73"/>
      <c r="M19" s="73"/>
      <c r="N19" s="69"/>
      <c r="O19" s="69"/>
      <c r="P19" s="69"/>
      <c r="Q19" s="69"/>
      <c r="R19" s="69"/>
      <c r="S19" s="73"/>
      <c r="T19" s="73"/>
      <c r="U19" s="73"/>
      <c r="V19" s="73"/>
      <c r="W19" s="73"/>
      <c r="X19" s="73"/>
      <c r="Y19" s="73"/>
      <c r="Z19" s="73"/>
      <c r="AA19" s="70"/>
      <c r="AB19" s="71"/>
      <c r="AC19" s="72"/>
      <c r="AD19" s="73"/>
      <c r="AE19" s="69"/>
      <c r="AF19" s="69">
        <f t="shared" si="0"/>
        <v>-39543.43</v>
      </c>
      <c r="AG19" s="1"/>
      <c r="AH19" s="6"/>
      <c r="AI19" s="4"/>
      <c r="AJ19" s="77"/>
      <c r="AK19" s="78"/>
      <c r="AL19" s="77"/>
      <c r="AM19" s="78"/>
      <c r="AN19" s="14"/>
      <c r="AO19" s="14"/>
      <c r="AP19" s="4"/>
      <c r="AQ19" s="34"/>
      <c r="AR19" s="34"/>
      <c r="AS19" s="73"/>
      <c r="AT19" s="34"/>
      <c r="AU19" s="34"/>
      <c r="AV19" s="34"/>
      <c r="AW19" s="34"/>
      <c r="AX19" s="4"/>
    </row>
    <row r="20" spans="1:50" x14ac:dyDescent="0.3">
      <c r="A20" s="63"/>
      <c r="B20" s="64"/>
      <c r="C20" s="65"/>
      <c r="D20" s="69"/>
      <c r="E20" s="173">
        <f>SUM(E15:E18)</f>
        <v>0</v>
      </c>
      <c r="F20" s="65"/>
      <c r="G20" s="68"/>
      <c r="H20" s="173">
        <f t="shared" ref="H20:Z20" si="1">SUM(H14:H18)</f>
        <v>0</v>
      </c>
      <c r="I20" s="173">
        <f t="shared" si="1"/>
        <v>101.05</v>
      </c>
      <c r="J20" s="173">
        <f t="shared" si="1"/>
        <v>365.96999999999997</v>
      </c>
      <c r="K20" s="173">
        <f t="shared" si="1"/>
        <v>0</v>
      </c>
      <c r="L20" s="173">
        <f t="shared" si="1"/>
        <v>0</v>
      </c>
      <c r="M20" s="173">
        <f t="shared" si="1"/>
        <v>0</v>
      </c>
      <c r="N20" s="173">
        <f t="shared" si="1"/>
        <v>467.02</v>
      </c>
      <c r="O20" s="173">
        <f t="shared" si="1"/>
        <v>0</v>
      </c>
      <c r="P20" s="173">
        <f t="shared" si="1"/>
        <v>0</v>
      </c>
      <c r="Q20" s="173">
        <f t="shared" si="1"/>
        <v>0</v>
      </c>
      <c r="R20" s="173">
        <f t="shared" si="1"/>
        <v>467.02</v>
      </c>
      <c r="S20" s="173">
        <f t="shared" si="1"/>
        <v>0</v>
      </c>
      <c r="T20" s="173">
        <f t="shared" si="1"/>
        <v>40010.450000000004</v>
      </c>
      <c r="U20" s="173">
        <f t="shared" si="1"/>
        <v>0</v>
      </c>
      <c r="V20" s="173">
        <f t="shared" si="1"/>
        <v>0</v>
      </c>
      <c r="W20" s="173">
        <f t="shared" si="1"/>
        <v>0</v>
      </c>
      <c r="X20" s="173">
        <f t="shared" si="1"/>
        <v>0</v>
      </c>
      <c r="Y20" s="173">
        <f t="shared" si="1"/>
        <v>40010.450000000004</v>
      </c>
      <c r="Z20" s="173">
        <f t="shared" si="1"/>
        <v>39543.43</v>
      </c>
      <c r="AA20" s="70"/>
      <c r="AB20" s="71"/>
      <c r="AC20" s="72"/>
      <c r="AD20" s="73"/>
      <c r="AE20" s="69"/>
      <c r="AF20" s="69">
        <f t="shared" si="0"/>
        <v>-39543.43</v>
      </c>
      <c r="AG20" s="1"/>
      <c r="AH20" s="6"/>
      <c r="AI20" s="4"/>
      <c r="AJ20" s="77"/>
      <c r="AK20" s="78"/>
      <c r="AL20" s="77"/>
      <c r="AM20" s="78"/>
      <c r="AN20" s="14"/>
      <c r="AO20" s="14"/>
      <c r="AP20" s="4"/>
      <c r="AQ20" s="34"/>
      <c r="AR20" s="34"/>
      <c r="AS20" s="69"/>
      <c r="AT20" s="34"/>
      <c r="AU20" s="34"/>
      <c r="AV20" s="34"/>
      <c r="AW20" s="34"/>
      <c r="AX20" s="4"/>
    </row>
    <row r="21" spans="1:50" x14ac:dyDescent="0.3">
      <c r="A21" s="63"/>
      <c r="B21" s="64"/>
      <c r="C21" s="65"/>
      <c r="D21" s="69"/>
      <c r="E21" s="98">
        <f>E20+Z20</f>
        <v>39543.43</v>
      </c>
      <c r="F21" s="65"/>
      <c r="G21" s="68"/>
      <c r="H21" s="69"/>
      <c r="I21" s="69"/>
      <c r="J21" s="69"/>
      <c r="K21" s="69"/>
      <c r="L21" s="69"/>
      <c r="M21" s="69" t="s">
        <v>497</v>
      </c>
      <c r="N21" s="69">
        <f>N20-N22-N23</f>
        <v>353.67999999999995</v>
      </c>
      <c r="O21" s="69"/>
      <c r="P21" s="69"/>
      <c r="Q21" s="69"/>
      <c r="R21" s="69"/>
      <c r="S21" s="69" t="s">
        <v>497</v>
      </c>
      <c r="T21" s="69">
        <f t="shared" ref="T21:X21" si="2">T20-T22-T23</f>
        <v>5658.9600000000064</v>
      </c>
      <c r="U21" s="69">
        <f t="shared" si="2"/>
        <v>0</v>
      </c>
      <c r="V21" s="69">
        <f t="shared" si="2"/>
        <v>0</v>
      </c>
      <c r="W21" s="69">
        <f t="shared" si="2"/>
        <v>0</v>
      </c>
      <c r="X21" s="69">
        <f t="shared" si="2"/>
        <v>0</v>
      </c>
      <c r="Y21" s="69"/>
      <c r="Z21" s="69"/>
      <c r="AA21" s="70"/>
      <c r="AB21" s="71"/>
      <c r="AC21" s="72"/>
      <c r="AD21" s="73"/>
      <c r="AE21" s="69"/>
      <c r="AF21" s="69">
        <f t="shared" si="0"/>
        <v>-39543.43</v>
      </c>
      <c r="AG21" s="1"/>
      <c r="AH21" s="6"/>
      <c r="AI21" s="4"/>
      <c r="AJ21" s="77"/>
      <c r="AK21" s="78"/>
      <c r="AL21" s="77"/>
      <c r="AM21" s="78"/>
      <c r="AN21" s="14"/>
      <c r="AO21" s="14"/>
      <c r="AP21" s="4"/>
      <c r="AQ21" s="34"/>
      <c r="AR21" s="34"/>
      <c r="AS21" s="69"/>
      <c r="AT21" s="34"/>
      <c r="AU21" s="34"/>
      <c r="AV21" s="34"/>
      <c r="AW21" s="34"/>
      <c r="AX21" s="4"/>
    </row>
    <row r="22" spans="1:50" x14ac:dyDescent="0.3">
      <c r="A22" s="147"/>
      <c r="B22" s="147"/>
      <c r="C22" s="147"/>
      <c r="D22" s="147"/>
      <c r="E22" s="147"/>
      <c r="F22" s="147"/>
      <c r="G22" s="147"/>
      <c r="H22" s="147"/>
      <c r="I22" s="147"/>
      <c r="J22" s="147"/>
      <c r="K22" s="147"/>
      <c r="L22" s="147"/>
      <c r="M22" s="171" t="s">
        <v>498</v>
      </c>
      <c r="N22" s="149">
        <f>N14+(SUM(N16:N18))</f>
        <v>113.34</v>
      </c>
      <c r="O22" s="147"/>
      <c r="P22" s="147"/>
      <c r="Q22" s="147"/>
      <c r="R22" s="147"/>
      <c r="S22" s="171" t="s">
        <v>498</v>
      </c>
      <c r="T22" s="149">
        <f>T14+(SUM(T16:T18))</f>
        <v>34351.49</v>
      </c>
      <c r="U22" s="149">
        <f t="shared" ref="U22:X22" si="3">SUM(U16:U18)</f>
        <v>0</v>
      </c>
      <c r="V22" s="149">
        <f t="shared" si="3"/>
        <v>0</v>
      </c>
      <c r="W22" s="149">
        <f t="shared" si="3"/>
        <v>0</v>
      </c>
      <c r="X22" s="149">
        <f t="shared" si="3"/>
        <v>0</v>
      </c>
      <c r="Y22" s="147"/>
      <c r="Z22" s="147"/>
      <c r="AA22" s="147"/>
      <c r="AB22" s="147"/>
      <c r="AC22" s="147"/>
      <c r="AD22" s="147"/>
      <c r="AE22" s="147"/>
      <c r="AF22" s="69">
        <f t="shared" si="0"/>
        <v>-39543.43</v>
      </c>
    </row>
    <row r="23" spans="1:50" x14ac:dyDescent="0.3">
      <c r="A23" s="147"/>
      <c r="B23" s="147"/>
      <c r="C23" s="147"/>
      <c r="D23" s="147"/>
      <c r="E23" s="147"/>
      <c r="F23" s="147"/>
      <c r="G23" s="147"/>
      <c r="H23" s="147"/>
      <c r="I23" s="147"/>
      <c r="J23" s="147"/>
      <c r="K23" s="147"/>
      <c r="L23" s="147"/>
      <c r="M23" s="174" t="s">
        <v>499</v>
      </c>
      <c r="N23" s="147"/>
      <c r="O23" s="147"/>
      <c r="P23" s="147"/>
      <c r="Q23" s="147"/>
      <c r="R23" s="147"/>
      <c r="S23" s="174" t="s">
        <v>499</v>
      </c>
      <c r="T23" s="147"/>
      <c r="U23" s="147"/>
      <c r="V23" s="147"/>
      <c r="W23" s="147"/>
      <c r="X23" s="147"/>
      <c r="Y23" s="147"/>
      <c r="Z23" s="147"/>
      <c r="AA23" s="147"/>
      <c r="AB23" s="147"/>
      <c r="AC23" s="147"/>
      <c r="AD23" s="147"/>
      <c r="AE23" s="147"/>
      <c r="AF23" s="69">
        <f t="shared" si="0"/>
        <v>-39543.43</v>
      </c>
    </row>
    <row r="24" spans="1:50" x14ac:dyDescent="0.3">
      <c r="A24" s="147"/>
      <c r="B24" s="147"/>
      <c r="C24" s="147"/>
      <c r="D24" s="147"/>
      <c r="E24" s="147"/>
      <c r="F24" s="147"/>
      <c r="G24" s="147"/>
      <c r="H24" s="147"/>
      <c r="I24" s="147"/>
      <c r="J24" s="147"/>
      <c r="K24" s="147"/>
      <c r="L24" s="147"/>
      <c r="M24" s="147"/>
      <c r="N24" s="147"/>
      <c r="O24" s="147"/>
      <c r="P24" s="147"/>
      <c r="Q24" s="147"/>
      <c r="R24" s="147"/>
      <c r="S24" s="147"/>
      <c r="T24" s="147"/>
      <c r="U24" s="147"/>
      <c r="V24" s="147"/>
      <c r="W24" s="147"/>
      <c r="X24" s="147"/>
      <c r="Y24" s="147"/>
      <c r="Z24" s="147"/>
      <c r="AA24" s="147"/>
      <c r="AB24" s="147"/>
      <c r="AC24" s="147"/>
      <c r="AD24" s="147"/>
      <c r="AE24" s="147"/>
      <c r="AF24" s="69">
        <f t="shared" si="0"/>
        <v>-39543.43</v>
      </c>
    </row>
    <row r="25" spans="1:50" ht="15" thickBot="1" x14ac:dyDescent="0.35">
      <c r="A25" s="147"/>
      <c r="B25" s="147"/>
      <c r="C25" s="147"/>
      <c r="D25" s="147"/>
      <c r="E25" s="147"/>
      <c r="F25" s="147"/>
      <c r="G25" s="147"/>
      <c r="H25" s="147"/>
      <c r="I25" s="147"/>
      <c r="J25" s="147"/>
      <c r="K25" s="147"/>
      <c r="L25" s="147"/>
      <c r="M25" s="147"/>
      <c r="N25" s="147"/>
      <c r="O25" s="147"/>
      <c r="P25" s="147"/>
      <c r="Q25" s="147"/>
      <c r="R25" s="147"/>
      <c r="S25" s="147"/>
      <c r="T25" s="147"/>
      <c r="U25" s="147"/>
      <c r="V25" s="147"/>
      <c r="W25" s="147"/>
      <c r="X25" s="147"/>
      <c r="Y25" s="147"/>
      <c r="Z25" s="147"/>
      <c r="AA25" s="147"/>
      <c r="AB25" s="147"/>
      <c r="AC25" s="147"/>
      <c r="AD25" s="147"/>
      <c r="AE25" s="147"/>
      <c r="AF25" s="69">
        <f t="shared" si="0"/>
        <v>-39543.43</v>
      </c>
    </row>
    <row r="26" spans="1:50" x14ac:dyDescent="0.3">
      <c r="A26" s="147"/>
      <c r="B26" s="147"/>
      <c r="C26" s="147"/>
      <c r="D26" s="147"/>
      <c r="E26" s="147"/>
      <c r="F26" s="147"/>
      <c r="G26" s="147"/>
      <c r="H26" s="147"/>
      <c r="I26" s="147"/>
      <c r="J26" s="147"/>
      <c r="K26" s="147"/>
      <c r="L26" s="147"/>
      <c r="M26" s="147"/>
      <c r="N26" s="147"/>
      <c r="O26" s="147"/>
      <c r="P26" s="147"/>
      <c r="Q26" s="147"/>
      <c r="R26" s="147"/>
      <c r="S26" s="147"/>
      <c r="T26" s="147"/>
      <c r="U26" s="153" t="s">
        <v>480</v>
      </c>
      <c r="V26" s="154"/>
      <c r="W26" s="154"/>
      <c r="X26" s="175"/>
      <c r="Y26" s="176" t="s">
        <v>484</v>
      </c>
      <c r="Z26" s="147"/>
      <c r="AA26" s="147"/>
      <c r="AB26" s="147"/>
      <c r="AC26" s="147"/>
      <c r="AD26" s="147"/>
      <c r="AE26" s="147"/>
      <c r="AF26" s="69">
        <f t="shared" si="0"/>
        <v>-39543.43</v>
      </c>
    </row>
    <row r="27" spans="1:50" x14ac:dyDescent="0.3">
      <c r="A27" s="147"/>
      <c r="B27" s="147"/>
      <c r="C27" s="147"/>
      <c r="D27" s="147"/>
      <c r="E27" s="147"/>
      <c r="F27" s="147"/>
      <c r="G27" s="147"/>
      <c r="H27" s="147"/>
      <c r="I27" s="147"/>
      <c r="J27" s="147"/>
      <c r="K27" s="147"/>
      <c r="L27" s="147"/>
      <c r="M27" s="147"/>
      <c r="N27" s="147"/>
      <c r="O27" s="147"/>
      <c r="P27" s="147"/>
      <c r="Q27" s="147"/>
      <c r="R27" s="147"/>
      <c r="S27" s="147"/>
      <c r="T27" s="147"/>
      <c r="U27" s="155"/>
      <c r="V27" s="156" t="s">
        <v>497</v>
      </c>
      <c r="W27" s="156" t="s">
        <v>498</v>
      </c>
      <c r="X27" s="177" t="s">
        <v>499</v>
      </c>
      <c r="Y27" s="178"/>
      <c r="Z27" s="147"/>
      <c r="AA27" s="147"/>
      <c r="AB27" s="147"/>
      <c r="AC27" s="147"/>
      <c r="AD27" s="147"/>
      <c r="AE27" s="147"/>
      <c r="AF27" s="69">
        <f t="shared" si="0"/>
        <v>-39543.43</v>
      </c>
    </row>
    <row r="28" spans="1:50" x14ac:dyDescent="0.3">
      <c r="A28" s="147"/>
      <c r="B28" s="147"/>
      <c r="C28" s="147"/>
      <c r="D28" s="147"/>
      <c r="E28" s="147"/>
      <c r="F28" s="147"/>
      <c r="G28" s="147"/>
      <c r="H28" s="147"/>
      <c r="I28" s="147"/>
      <c r="J28" s="147"/>
      <c r="K28" s="147"/>
      <c r="L28" s="147"/>
      <c r="M28" s="147"/>
      <c r="N28" s="147"/>
      <c r="O28" s="147"/>
      <c r="P28" s="147"/>
      <c r="Q28" s="147"/>
      <c r="R28" s="147"/>
      <c r="S28" s="147"/>
      <c r="T28" s="147"/>
      <c r="U28" s="157" t="s">
        <v>482</v>
      </c>
      <c r="V28" s="143">
        <f>+T21-(SUM(U21:X21))</f>
        <v>5658.9600000000064</v>
      </c>
      <c r="W28" s="143">
        <f>T22-(SUM(U22:X22))</f>
        <v>34351.49</v>
      </c>
      <c r="X28" s="179">
        <f>T23-(SUM(U23:X23))</f>
        <v>0</v>
      </c>
      <c r="Y28" s="178">
        <f t="shared" ref="Y28:Y32" si="4">SUM(V28:X28)</f>
        <v>40010.450000000004</v>
      </c>
      <c r="Z28" s="147"/>
      <c r="AA28" s="147"/>
      <c r="AB28" s="147"/>
      <c r="AC28" s="147"/>
      <c r="AD28" s="147"/>
      <c r="AE28" s="147"/>
      <c r="AF28" s="69">
        <f t="shared" si="0"/>
        <v>-39543.43</v>
      </c>
    </row>
    <row r="29" spans="1:50" x14ac:dyDescent="0.3">
      <c r="A29" s="147"/>
      <c r="B29" s="147"/>
      <c r="C29" s="147"/>
      <c r="D29" s="147"/>
      <c r="E29" s="147"/>
      <c r="F29" s="147"/>
      <c r="G29" s="147"/>
      <c r="H29" s="147"/>
      <c r="I29" s="147"/>
      <c r="J29" s="147"/>
      <c r="K29" s="147"/>
      <c r="L29" s="147"/>
      <c r="M29" s="147"/>
      <c r="N29" s="147"/>
      <c r="O29" s="147"/>
      <c r="P29" s="147"/>
      <c r="Q29" s="147"/>
      <c r="R29" s="147"/>
      <c r="S29" s="147"/>
      <c r="T29" s="147"/>
      <c r="U29" s="157" t="s">
        <v>461</v>
      </c>
      <c r="V29" s="143">
        <v>0</v>
      </c>
      <c r="W29" s="143">
        <v>0</v>
      </c>
      <c r="X29" s="179">
        <v>0</v>
      </c>
      <c r="Y29" s="178">
        <f t="shared" si="4"/>
        <v>0</v>
      </c>
      <c r="Z29" s="147"/>
      <c r="AA29" s="147"/>
      <c r="AB29" s="147"/>
      <c r="AC29" s="147"/>
      <c r="AD29" s="147"/>
      <c r="AE29" s="147"/>
      <c r="AF29" s="69">
        <f t="shared" si="0"/>
        <v>-39543.43</v>
      </c>
    </row>
    <row r="30" spans="1:50" x14ac:dyDescent="0.3">
      <c r="A30" s="147"/>
      <c r="B30" s="147"/>
      <c r="C30" s="147"/>
      <c r="D30" s="147"/>
      <c r="E30" s="147"/>
      <c r="F30" s="147"/>
      <c r="G30" s="147"/>
      <c r="H30" s="147"/>
      <c r="I30" s="147"/>
      <c r="J30" s="147"/>
      <c r="K30" s="147"/>
      <c r="L30" s="147"/>
      <c r="M30" s="147"/>
      <c r="N30" s="147"/>
      <c r="O30" s="147"/>
      <c r="P30" s="147"/>
      <c r="Q30" s="147"/>
      <c r="R30" s="147"/>
      <c r="S30" s="147"/>
      <c r="T30" s="147"/>
      <c r="U30" s="157" t="s">
        <v>483</v>
      </c>
      <c r="V30" s="143">
        <v>0</v>
      </c>
      <c r="W30" s="143">
        <v>0</v>
      </c>
      <c r="X30" s="179">
        <v>0</v>
      </c>
      <c r="Y30" s="178">
        <f t="shared" si="4"/>
        <v>0</v>
      </c>
      <c r="Z30" s="147"/>
      <c r="AA30" s="147"/>
      <c r="AB30" s="147"/>
      <c r="AC30" s="147"/>
      <c r="AD30" s="147"/>
      <c r="AE30" s="147"/>
      <c r="AF30" s="69">
        <f t="shared" si="0"/>
        <v>-39543.43</v>
      </c>
    </row>
    <row r="31" spans="1:50" x14ac:dyDescent="0.3">
      <c r="A31" s="147"/>
      <c r="B31" s="147"/>
      <c r="C31" s="147"/>
      <c r="D31" s="147"/>
      <c r="E31" s="147"/>
      <c r="F31" s="147"/>
      <c r="G31" s="147"/>
      <c r="H31" s="147"/>
      <c r="I31" s="147"/>
      <c r="J31" s="147"/>
      <c r="K31" s="147"/>
      <c r="L31" s="147"/>
      <c r="M31" s="147"/>
      <c r="N31" s="147"/>
      <c r="O31" s="147"/>
      <c r="P31" s="147"/>
      <c r="Q31" s="147"/>
      <c r="R31" s="147"/>
      <c r="S31" s="147"/>
      <c r="T31" s="147"/>
      <c r="U31" s="157" t="s">
        <v>484</v>
      </c>
      <c r="V31" s="143">
        <f t="shared" ref="V31:X31" si="5">SUM(V28:V30)</f>
        <v>5658.9600000000064</v>
      </c>
      <c r="W31" s="143">
        <f t="shared" si="5"/>
        <v>34351.49</v>
      </c>
      <c r="X31" s="179">
        <f t="shared" si="5"/>
        <v>0</v>
      </c>
      <c r="Y31" s="178">
        <f t="shared" si="4"/>
        <v>40010.450000000004</v>
      </c>
      <c r="Z31" s="147"/>
      <c r="AA31" s="147"/>
      <c r="AB31" s="147"/>
      <c r="AC31" s="147"/>
      <c r="AD31" s="147"/>
      <c r="AE31" s="147"/>
      <c r="AF31" s="69">
        <f t="shared" si="0"/>
        <v>-39543.43</v>
      </c>
    </row>
    <row r="32" spans="1:50" x14ac:dyDescent="0.3">
      <c r="A32" s="147"/>
      <c r="B32" s="147"/>
      <c r="C32" s="147"/>
      <c r="D32" s="147"/>
      <c r="E32" s="147"/>
      <c r="F32" s="147"/>
      <c r="G32" s="147"/>
      <c r="H32" s="147"/>
      <c r="I32" s="147"/>
      <c r="J32" s="147"/>
      <c r="K32" s="147"/>
      <c r="L32" s="147"/>
      <c r="M32" s="147"/>
      <c r="N32" s="147"/>
      <c r="O32" s="147"/>
      <c r="P32" s="147"/>
      <c r="Q32" s="147"/>
      <c r="R32" s="147"/>
      <c r="S32" s="147"/>
      <c r="T32" s="147"/>
      <c r="U32" s="157" t="s">
        <v>460</v>
      </c>
      <c r="V32" s="143">
        <v>5658.96</v>
      </c>
      <c r="W32" s="143">
        <v>34351.49</v>
      </c>
      <c r="X32" s="179"/>
      <c r="Y32" s="178">
        <f t="shared" si="4"/>
        <v>40010.449999999997</v>
      </c>
      <c r="Z32" s="147"/>
      <c r="AA32" s="147"/>
      <c r="AB32" s="147"/>
      <c r="AC32" s="147"/>
      <c r="AD32" s="147"/>
      <c r="AE32" s="147"/>
      <c r="AF32" s="69">
        <f t="shared" si="0"/>
        <v>-39543.43</v>
      </c>
    </row>
    <row r="33" spans="1:32" x14ac:dyDescent="0.3">
      <c r="A33" s="147"/>
      <c r="B33" s="147"/>
      <c r="C33" s="147"/>
      <c r="D33" s="147"/>
      <c r="E33" s="147"/>
      <c r="F33" s="147"/>
      <c r="G33" s="147"/>
      <c r="H33" s="147"/>
      <c r="I33" s="147"/>
      <c r="J33" s="147"/>
      <c r="K33" s="147"/>
      <c r="L33" s="147"/>
      <c r="M33" s="147"/>
      <c r="N33" s="147"/>
      <c r="O33" s="147"/>
      <c r="P33" s="147"/>
      <c r="Q33" s="147"/>
      <c r="R33" s="147"/>
      <c r="S33" s="147"/>
      <c r="T33" s="147"/>
      <c r="U33" s="158" t="s">
        <v>485</v>
      </c>
      <c r="V33" s="159">
        <f t="shared" ref="V33:Y33" si="6">+V31-V32</f>
        <v>0</v>
      </c>
      <c r="W33" s="159">
        <f t="shared" si="6"/>
        <v>0</v>
      </c>
      <c r="X33" s="180">
        <f t="shared" si="6"/>
        <v>0</v>
      </c>
      <c r="Y33" s="178">
        <f t="shared" si="6"/>
        <v>0</v>
      </c>
      <c r="Z33" s="147"/>
      <c r="AA33" s="147"/>
      <c r="AB33" s="147"/>
      <c r="AC33" s="147"/>
      <c r="AD33" s="147"/>
      <c r="AE33" s="147"/>
      <c r="AF33" s="69">
        <f t="shared" si="0"/>
        <v>-39543.43</v>
      </c>
    </row>
    <row r="34" spans="1:32" x14ac:dyDescent="0.3">
      <c r="A34" s="147"/>
      <c r="B34" s="147"/>
      <c r="C34" s="147"/>
      <c r="D34" s="147"/>
      <c r="E34" s="147"/>
      <c r="F34" s="147"/>
      <c r="G34" s="147"/>
      <c r="H34" s="147"/>
      <c r="I34" s="147"/>
      <c r="J34" s="147"/>
      <c r="K34" s="147"/>
      <c r="L34" s="147"/>
      <c r="M34" s="147"/>
      <c r="N34" s="147"/>
      <c r="O34" s="147"/>
      <c r="P34" s="147"/>
      <c r="Q34" s="147"/>
      <c r="R34" s="147"/>
      <c r="S34" s="147"/>
      <c r="T34" s="147"/>
      <c r="U34" s="160"/>
      <c r="V34" s="161"/>
      <c r="W34" s="161"/>
      <c r="X34" s="181"/>
      <c r="Y34" s="178"/>
      <c r="Z34" s="147"/>
      <c r="AA34" s="147"/>
      <c r="AB34" s="147"/>
      <c r="AC34" s="147"/>
      <c r="AD34" s="147"/>
      <c r="AE34" s="147"/>
      <c r="AF34" s="69">
        <f t="shared" si="0"/>
        <v>-39543.43</v>
      </c>
    </row>
    <row r="35" spans="1:32" x14ac:dyDescent="0.3">
      <c r="A35" s="147"/>
      <c r="B35" s="147"/>
      <c r="C35" s="147"/>
      <c r="D35" s="147"/>
      <c r="E35" s="147"/>
      <c r="F35" s="147"/>
      <c r="G35" s="147"/>
      <c r="H35" s="147"/>
      <c r="I35" s="147"/>
      <c r="J35" s="147"/>
      <c r="K35" s="147"/>
      <c r="L35" s="147"/>
      <c r="M35" s="147"/>
      <c r="N35" s="147"/>
      <c r="O35" s="147"/>
      <c r="P35" s="147"/>
      <c r="Q35" s="147"/>
      <c r="R35" s="147"/>
      <c r="S35" s="147"/>
      <c r="T35" s="147"/>
      <c r="U35" s="160" t="s">
        <v>500</v>
      </c>
      <c r="V35" s="162">
        <v>0</v>
      </c>
      <c r="W35" s="162">
        <v>0</v>
      </c>
      <c r="X35" s="182">
        <v>0</v>
      </c>
      <c r="Y35" s="178">
        <f t="shared" ref="Y35:Y36" si="7">SUM(V35:X35)</f>
        <v>0</v>
      </c>
      <c r="Z35" s="147"/>
      <c r="AA35" s="147"/>
      <c r="AB35" s="147"/>
      <c r="AC35" s="147"/>
      <c r="AD35" s="147"/>
      <c r="AE35" s="147"/>
      <c r="AF35" s="69">
        <f t="shared" si="0"/>
        <v>-39543.43</v>
      </c>
    </row>
    <row r="36" spans="1:32" x14ac:dyDescent="0.3">
      <c r="A36" s="147"/>
      <c r="B36" s="147"/>
      <c r="C36" s="147"/>
      <c r="D36" s="147"/>
      <c r="E36" s="147"/>
      <c r="F36" s="147"/>
      <c r="G36" s="147"/>
      <c r="H36" s="147"/>
      <c r="I36" s="147"/>
      <c r="J36" s="147"/>
      <c r="K36" s="147"/>
      <c r="L36" s="147"/>
      <c r="M36" s="147"/>
      <c r="N36" s="147"/>
      <c r="O36" s="147"/>
      <c r="P36" s="147"/>
      <c r="Q36" s="147"/>
      <c r="R36" s="147"/>
      <c r="S36" s="147"/>
      <c r="T36" s="147"/>
      <c r="U36" s="160" t="s">
        <v>487</v>
      </c>
      <c r="V36" s="162">
        <v>0</v>
      </c>
      <c r="W36" s="162">
        <v>0</v>
      </c>
      <c r="X36" s="182">
        <v>0</v>
      </c>
      <c r="Y36" s="178">
        <f t="shared" si="7"/>
        <v>0</v>
      </c>
      <c r="Z36" s="147"/>
      <c r="AA36" s="147"/>
      <c r="AB36" s="147"/>
      <c r="AC36" s="147"/>
      <c r="AD36" s="147"/>
      <c r="AE36" s="147"/>
      <c r="AF36" s="69">
        <f t="shared" si="0"/>
        <v>-39543.43</v>
      </c>
    </row>
    <row r="37" spans="1:32" x14ac:dyDescent="0.3">
      <c r="A37" s="147"/>
      <c r="B37" s="147"/>
      <c r="C37" s="147"/>
      <c r="D37" s="147"/>
      <c r="E37" s="147"/>
      <c r="F37" s="147"/>
      <c r="G37" s="147"/>
      <c r="H37" s="147"/>
      <c r="I37" s="147"/>
      <c r="J37" s="147"/>
      <c r="K37" s="147"/>
      <c r="L37" s="147"/>
      <c r="M37" s="147"/>
      <c r="N37" s="147"/>
      <c r="O37" s="147"/>
      <c r="P37" s="147"/>
      <c r="Q37" s="147"/>
      <c r="R37" s="147"/>
      <c r="S37" s="147"/>
      <c r="T37" s="147"/>
      <c r="U37" s="163"/>
      <c r="V37" s="161"/>
      <c r="W37" s="161"/>
      <c r="X37" s="181"/>
      <c r="Y37" s="178"/>
      <c r="Z37" s="147"/>
      <c r="AA37" s="147"/>
      <c r="AB37" s="147"/>
      <c r="AC37" s="147"/>
      <c r="AD37" s="147"/>
      <c r="AE37" s="147"/>
      <c r="AF37" s="69">
        <f t="shared" si="0"/>
        <v>-39543.43</v>
      </c>
    </row>
    <row r="38" spans="1:32" x14ac:dyDescent="0.3">
      <c r="A38" s="147"/>
      <c r="B38" s="147"/>
      <c r="C38" s="147"/>
      <c r="D38" s="147"/>
      <c r="E38" s="147"/>
      <c r="F38" s="147"/>
      <c r="G38" s="147"/>
      <c r="H38" s="147"/>
      <c r="I38" s="147"/>
      <c r="J38" s="147"/>
      <c r="K38" s="147"/>
      <c r="L38" s="147"/>
      <c r="M38" s="147"/>
      <c r="N38" s="147"/>
      <c r="O38" s="147"/>
      <c r="P38" s="147"/>
      <c r="Q38" s="147"/>
      <c r="R38" s="147"/>
      <c r="S38" s="147"/>
      <c r="T38" s="147"/>
      <c r="U38" s="164" t="s">
        <v>488</v>
      </c>
      <c r="V38" s="146"/>
      <c r="W38" s="146"/>
      <c r="X38" s="183"/>
      <c r="Y38" s="178"/>
      <c r="Z38" s="147"/>
      <c r="AA38" s="147"/>
      <c r="AB38" s="147"/>
      <c r="AC38" s="147"/>
      <c r="AD38" s="147"/>
      <c r="AE38" s="147"/>
      <c r="AF38" s="69">
        <f t="shared" si="0"/>
        <v>-39543.43</v>
      </c>
    </row>
    <row r="39" spans="1:32" x14ac:dyDescent="0.3">
      <c r="A39" s="147"/>
      <c r="B39" s="147"/>
      <c r="C39" s="147"/>
      <c r="D39" s="147"/>
      <c r="E39" s="147"/>
      <c r="F39" s="147"/>
      <c r="G39" s="147"/>
      <c r="H39" s="147"/>
      <c r="I39" s="147"/>
      <c r="J39" s="147"/>
      <c r="K39" s="147"/>
      <c r="L39" s="147"/>
      <c r="M39" s="147"/>
      <c r="N39" s="147"/>
      <c r="O39" s="147"/>
      <c r="P39" s="147"/>
      <c r="Q39" s="147"/>
      <c r="R39" s="147"/>
      <c r="S39" s="147"/>
      <c r="T39" s="147"/>
      <c r="U39" s="164"/>
      <c r="V39" s="165" t="s">
        <v>497</v>
      </c>
      <c r="W39" s="165" t="s">
        <v>498</v>
      </c>
      <c r="X39" s="184" t="s">
        <v>499</v>
      </c>
      <c r="Y39" s="178"/>
      <c r="Z39" s="147"/>
      <c r="AA39" s="147"/>
      <c r="AB39" s="147"/>
      <c r="AC39" s="147"/>
      <c r="AD39" s="147"/>
      <c r="AE39" s="147"/>
      <c r="AF39" s="69">
        <f t="shared" si="0"/>
        <v>-39543.43</v>
      </c>
    </row>
    <row r="40" spans="1:32" x14ac:dyDescent="0.3">
      <c r="A40" s="147"/>
      <c r="B40" s="147"/>
      <c r="C40" s="147"/>
      <c r="D40" s="147"/>
      <c r="E40" s="147"/>
      <c r="F40" s="147"/>
      <c r="G40" s="147"/>
      <c r="H40" s="147"/>
      <c r="I40" s="147"/>
      <c r="J40" s="147"/>
      <c r="K40" s="147"/>
      <c r="L40" s="147"/>
      <c r="M40" s="147"/>
      <c r="N40" s="147"/>
      <c r="O40" s="147"/>
      <c r="P40" s="147"/>
      <c r="Q40" s="147"/>
      <c r="R40" s="147"/>
      <c r="S40" s="147"/>
      <c r="T40" s="147"/>
      <c r="U40" s="166" t="s">
        <v>489</v>
      </c>
      <c r="V40" s="146"/>
      <c r="W40" s="146"/>
      <c r="X40" s="183"/>
      <c r="Y40" s="178"/>
      <c r="Z40" s="147"/>
      <c r="AA40" s="147"/>
      <c r="AB40" s="147"/>
      <c r="AC40" s="147"/>
      <c r="AD40" s="147"/>
      <c r="AE40" s="147"/>
      <c r="AF40" s="69">
        <f t="shared" si="0"/>
        <v>-39543.43</v>
      </c>
    </row>
    <row r="41" spans="1:32" x14ac:dyDescent="0.3">
      <c r="A41" s="147"/>
      <c r="B41" s="147"/>
      <c r="C41" s="147"/>
      <c r="D41" s="147"/>
      <c r="E41" s="147"/>
      <c r="F41" s="147"/>
      <c r="G41" s="147"/>
      <c r="H41" s="147"/>
      <c r="I41" s="147"/>
      <c r="J41" s="147"/>
      <c r="K41" s="147"/>
      <c r="L41" s="147"/>
      <c r="M41" s="147"/>
      <c r="N41" s="147"/>
      <c r="O41" s="147"/>
      <c r="P41" s="147"/>
      <c r="Q41" s="147"/>
      <c r="R41" s="147"/>
      <c r="S41" s="147"/>
      <c r="T41" s="147"/>
      <c r="U41" s="167" t="s">
        <v>501</v>
      </c>
      <c r="V41" s="146">
        <f t="shared" ref="V41:X41" si="8">V28</f>
        <v>5658.9600000000064</v>
      </c>
      <c r="W41" s="146">
        <f t="shared" si="8"/>
        <v>34351.49</v>
      </c>
      <c r="X41" s="146">
        <f t="shared" si="8"/>
        <v>0</v>
      </c>
      <c r="Y41" s="178">
        <f t="shared" ref="Y41:Y42" si="9">SUM(V41:X41)</f>
        <v>40010.450000000004</v>
      </c>
      <c r="Z41" s="147"/>
      <c r="AA41" s="147"/>
      <c r="AB41" s="147"/>
      <c r="AC41" s="147"/>
      <c r="AD41" s="147"/>
      <c r="AE41" s="147"/>
      <c r="AF41" s="69">
        <f t="shared" si="0"/>
        <v>-39543.43</v>
      </c>
    </row>
    <row r="42" spans="1:32" x14ac:dyDescent="0.3">
      <c r="A42" s="147"/>
      <c r="B42" s="147"/>
      <c r="C42" s="147"/>
      <c r="D42" s="147"/>
      <c r="E42" s="147"/>
      <c r="F42" s="147"/>
      <c r="G42" s="147"/>
      <c r="H42" s="147"/>
      <c r="I42" s="147"/>
      <c r="J42" s="147"/>
      <c r="K42" s="147"/>
      <c r="L42" s="147"/>
      <c r="M42" s="147"/>
      <c r="N42" s="147"/>
      <c r="O42" s="147"/>
      <c r="P42" s="147"/>
      <c r="Q42" s="147"/>
      <c r="R42" s="147"/>
      <c r="S42" s="147"/>
      <c r="T42" s="147"/>
      <c r="U42" s="167" t="s">
        <v>502</v>
      </c>
      <c r="V42" s="146">
        <v>0</v>
      </c>
      <c r="W42" s="146">
        <v>0</v>
      </c>
      <c r="X42" s="183">
        <v>0</v>
      </c>
      <c r="Y42" s="178">
        <f t="shared" si="9"/>
        <v>0</v>
      </c>
      <c r="Z42" s="147"/>
      <c r="AA42" s="147"/>
      <c r="AB42" s="147"/>
      <c r="AC42" s="147"/>
      <c r="AD42" s="147"/>
      <c r="AE42" s="147"/>
      <c r="AF42" s="69">
        <f t="shared" si="0"/>
        <v>-39543.43</v>
      </c>
    </row>
    <row r="43" spans="1:32" x14ac:dyDescent="0.3">
      <c r="A43" s="147"/>
      <c r="B43" s="147"/>
      <c r="C43" s="147"/>
      <c r="D43" s="147"/>
      <c r="E43" s="147"/>
      <c r="F43" s="147"/>
      <c r="G43" s="147"/>
      <c r="H43" s="147"/>
      <c r="I43" s="147"/>
      <c r="J43" s="147"/>
      <c r="K43" s="147"/>
      <c r="L43" s="147"/>
      <c r="M43" s="147"/>
      <c r="N43" s="147"/>
      <c r="O43" s="147"/>
      <c r="P43" s="147"/>
      <c r="Q43" s="147"/>
      <c r="R43" s="147"/>
      <c r="S43" s="147"/>
      <c r="T43" s="147"/>
      <c r="U43" s="167" t="s">
        <v>503</v>
      </c>
      <c r="V43" s="146">
        <f t="shared" ref="V43:X43" si="10">+V41+V42</f>
        <v>5658.9600000000064</v>
      </c>
      <c r="W43" s="146">
        <f t="shared" si="10"/>
        <v>34351.49</v>
      </c>
      <c r="X43" s="183">
        <f t="shared" si="10"/>
        <v>0</v>
      </c>
      <c r="Y43" s="178">
        <f>+Y41</f>
        <v>40010.450000000004</v>
      </c>
      <c r="Z43" s="147"/>
      <c r="AA43" s="147"/>
      <c r="AB43" s="147"/>
      <c r="AC43" s="147"/>
      <c r="AD43" s="147"/>
      <c r="AE43" s="147"/>
      <c r="AF43" s="69">
        <f t="shared" si="0"/>
        <v>-39543.43</v>
      </c>
    </row>
    <row r="44" spans="1:32" x14ac:dyDescent="0.3">
      <c r="A44" s="147"/>
      <c r="B44" s="147"/>
      <c r="C44" s="147"/>
      <c r="D44" s="147"/>
      <c r="E44" s="147"/>
      <c r="F44" s="147"/>
      <c r="G44" s="147"/>
      <c r="H44" s="147"/>
      <c r="I44" s="147"/>
      <c r="J44" s="147"/>
      <c r="K44" s="147"/>
      <c r="L44" s="147"/>
      <c r="M44" s="147"/>
      <c r="N44" s="147"/>
      <c r="O44" s="147"/>
      <c r="P44" s="147"/>
      <c r="Q44" s="147"/>
      <c r="R44" s="147"/>
      <c r="S44" s="147"/>
      <c r="T44" s="147"/>
      <c r="U44" s="167" t="s">
        <v>463</v>
      </c>
      <c r="V44" s="146">
        <v>0</v>
      </c>
      <c r="W44" s="146">
        <v>0</v>
      </c>
      <c r="X44" s="146">
        <v>0</v>
      </c>
      <c r="Y44" s="178">
        <f>SUM(V44:X44)</f>
        <v>0</v>
      </c>
      <c r="Z44" s="147"/>
      <c r="AA44" s="147"/>
      <c r="AB44" s="147"/>
      <c r="AC44" s="147"/>
      <c r="AD44" s="147"/>
      <c r="AE44" s="147"/>
      <c r="AF44" s="69">
        <f t="shared" si="0"/>
        <v>-39543.43</v>
      </c>
    </row>
    <row r="45" spans="1:32" x14ac:dyDescent="0.3">
      <c r="A45" s="147"/>
      <c r="B45" s="147"/>
      <c r="C45" s="147"/>
      <c r="D45" s="147"/>
      <c r="E45" s="147"/>
      <c r="F45" s="147"/>
      <c r="G45" s="147"/>
      <c r="H45" s="147"/>
      <c r="I45" s="147"/>
      <c r="J45" s="147"/>
      <c r="K45" s="147"/>
      <c r="L45" s="147"/>
      <c r="M45" s="147"/>
      <c r="N45" s="147"/>
      <c r="O45" s="147"/>
      <c r="P45" s="147"/>
      <c r="Q45" s="147"/>
      <c r="R45" s="147"/>
      <c r="S45" s="147"/>
      <c r="T45" s="147"/>
      <c r="U45" s="167" t="s">
        <v>66</v>
      </c>
      <c r="V45" s="146">
        <f t="shared" ref="V45:X45" si="11">+V41+V44</f>
        <v>5658.9600000000064</v>
      </c>
      <c r="W45" s="146">
        <f t="shared" si="11"/>
        <v>34351.49</v>
      </c>
      <c r="X45" s="146">
        <f t="shared" si="11"/>
        <v>0</v>
      </c>
      <c r="Y45" s="178">
        <f>SUM(Y43:Y44)</f>
        <v>40010.450000000004</v>
      </c>
      <c r="Z45" s="147"/>
      <c r="AA45" s="147"/>
      <c r="AB45" s="147"/>
      <c r="AC45" s="147"/>
      <c r="AD45" s="147"/>
      <c r="AE45" s="147"/>
      <c r="AF45" s="69">
        <f t="shared" si="0"/>
        <v>-39543.43</v>
      </c>
    </row>
    <row r="46" spans="1:32" x14ac:dyDescent="0.3">
      <c r="A46" s="147"/>
      <c r="B46" s="147"/>
      <c r="C46" s="147"/>
      <c r="D46" s="147"/>
      <c r="E46" s="147"/>
      <c r="F46" s="147"/>
      <c r="G46" s="147"/>
      <c r="H46" s="147"/>
      <c r="I46" s="147"/>
      <c r="J46" s="147"/>
      <c r="K46" s="147"/>
      <c r="L46" s="147"/>
      <c r="M46" s="147"/>
      <c r="N46" s="147"/>
      <c r="O46" s="147"/>
      <c r="P46" s="147"/>
      <c r="Q46" s="147"/>
      <c r="R46" s="147"/>
      <c r="S46" s="147"/>
      <c r="T46" s="147"/>
      <c r="U46" s="167" t="s">
        <v>460</v>
      </c>
      <c r="V46" s="146">
        <v>5658.96</v>
      </c>
      <c r="W46" s="146">
        <v>34351.49</v>
      </c>
      <c r="X46" s="183">
        <v>0</v>
      </c>
      <c r="Y46" s="178">
        <f t="shared" ref="Y46:Y47" si="12">SUM(V46:X46)</f>
        <v>40010.449999999997</v>
      </c>
      <c r="Z46" s="147"/>
      <c r="AA46" s="147"/>
      <c r="AB46" s="147"/>
      <c r="AC46" s="147"/>
      <c r="AD46" s="147"/>
      <c r="AE46" s="147"/>
      <c r="AF46" s="69">
        <f t="shared" si="0"/>
        <v>-39543.43</v>
      </c>
    </row>
    <row r="47" spans="1:32" ht="15" thickBot="1" x14ac:dyDescent="0.35">
      <c r="A47" s="147"/>
      <c r="B47" s="147"/>
      <c r="C47" s="147"/>
      <c r="D47" s="147"/>
      <c r="E47" s="147"/>
      <c r="F47" s="147"/>
      <c r="G47" s="147"/>
      <c r="H47" s="147"/>
      <c r="I47" s="147"/>
      <c r="J47" s="147"/>
      <c r="K47" s="147"/>
      <c r="L47" s="147"/>
      <c r="M47" s="147"/>
      <c r="N47" s="147"/>
      <c r="O47" s="147"/>
      <c r="P47" s="147"/>
      <c r="Q47" s="147"/>
      <c r="R47" s="147"/>
      <c r="S47" s="147"/>
      <c r="T47" s="147"/>
      <c r="U47" s="169" t="s">
        <v>65</v>
      </c>
      <c r="V47" s="170">
        <f t="shared" ref="V47:X47" si="13">+V45-V46</f>
        <v>0</v>
      </c>
      <c r="W47" s="170">
        <f t="shared" si="13"/>
        <v>0</v>
      </c>
      <c r="X47" s="185">
        <f t="shared" si="13"/>
        <v>0</v>
      </c>
      <c r="Y47" s="186">
        <f t="shared" si="12"/>
        <v>0</v>
      </c>
      <c r="Z47" s="147"/>
      <c r="AA47" s="147"/>
      <c r="AB47" s="147"/>
      <c r="AC47" s="147"/>
      <c r="AD47" s="147"/>
      <c r="AE47" s="147"/>
      <c r="AF47" s="69">
        <f t="shared" si="0"/>
        <v>-39543.43</v>
      </c>
    </row>
    <row r="48" spans="1:32" x14ac:dyDescent="0.3">
      <c r="A48" s="147"/>
      <c r="B48" s="147"/>
      <c r="C48" s="147"/>
      <c r="D48" s="147"/>
      <c r="E48" s="147"/>
      <c r="F48" s="147"/>
      <c r="G48" s="147"/>
      <c r="H48" s="147"/>
      <c r="I48" s="147"/>
      <c r="J48" s="147"/>
      <c r="K48" s="147"/>
      <c r="L48" s="147"/>
      <c r="M48" s="147"/>
      <c r="N48" s="147"/>
      <c r="O48" s="147"/>
      <c r="P48" s="147"/>
      <c r="Q48" s="147"/>
      <c r="R48" s="147"/>
      <c r="S48" s="147"/>
      <c r="T48" s="147"/>
      <c r="U48" s="147"/>
      <c r="V48" s="147"/>
      <c r="W48" s="147"/>
      <c r="X48" s="147"/>
      <c r="Y48" s="147"/>
      <c r="Z48" s="147"/>
      <c r="AA48" s="147"/>
      <c r="AB48" s="147"/>
      <c r="AC48" s="147"/>
      <c r="AD48" s="147"/>
      <c r="AE48" s="147"/>
      <c r="AF48" s="69">
        <f t="shared" si="0"/>
        <v>-39543.43</v>
      </c>
    </row>
    <row r="49" spans="1:32" x14ac:dyDescent="0.3">
      <c r="A49" s="147"/>
      <c r="B49" s="147"/>
      <c r="C49" s="147"/>
      <c r="D49" s="147"/>
      <c r="E49" s="147"/>
      <c r="F49" s="147"/>
      <c r="G49" s="147"/>
      <c r="H49" s="147"/>
      <c r="I49" s="147"/>
      <c r="J49" s="147"/>
      <c r="K49" s="147"/>
      <c r="L49" s="147"/>
      <c r="M49" s="147"/>
      <c r="N49" s="147"/>
      <c r="O49" s="147"/>
      <c r="P49" s="147"/>
      <c r="Q49" s="147"/>
      <c r="R49" s="147"/>
      <c r="S49" s="147"/>
      <c r="T49" s="147"/>
      <c r="U49" s="147"/>
      <c r="V49" s="147"/>
      <c r="W49" s="147"/>
      <c r="X49" s="147"/>
      <c r="Y49" s="147"/>
      <c r="Z49" s="147"/>
      <c r="AA49" s="147"/>
      <c r="AB49" s="147"/>
      <c r="AC49" s="147"/>
      <c r="AD49" s="147"/>
      <c r="AE49" s="147"/>
      <c r="AF49" s="69">
        <f t="shared" si="0"/>
        <v>-39543.43</v>
      </c>
    </row>
  </sheetData>
  <mergeCells count="8">
    <mergeCell ref="AU7:AW7"/>
    <mergeCell ref="J8:K8"/>
    <mergeCell ref="AB8:AC8"/>
    <mergeCell ref="AJ9:AK9"/>
    <mergeCell ref="AL9:AM9"/>
    <mergeCell ref="AQ1:AR1"/>
    <mergeCell ref="AJ7:AN7"/>
    <mergeCell ref="AR7:AT7"/>
  </mergeCells>
  <conditionalFormatting sqref="D1:D7">
    <cfRule type="containsText" dxfId="17" priority="1" operator="containsText" text="SETUP iFUND">
      <formula>NOT(ISERROR(SEARCH(("SETUP iFUND"),(D1))))</formula>
    </cfRule>
    <cfRule type="containsText" dxfId="16" priority="2" operator="containsText" text="FOB">
      <formula>NOT(ISERROR(SEARCH(("FOB"),(D1))))</formula>
    </cfRule>
    <cfRule type="containsText" dxfId="15" priority="3" operator="containsText" text="2019 NYDD">
      <formula>NOT(ISERROR(SEARCH(("2019 NYDD"),(D1))))</formula>
    </cfRule>
    <cfRule type="containsText" dxfId="14" priority="4" operator="containsText" text="2019">
      <formula>NOT(ISERROR(SEARCH(("2019"),(D1))))</formula>
    </cfRule>
    <cfRule type="containsText" dxfId="13" priority="5" operator="containsText" text="SETUP CTNG">
      <formula>NOT(ISERROR(SEARCH(("SETUP CTNG"),(D1))))</formula>
    </cfRule>
    <cfRule type="containsText" dxfId="12" priority="6" operator="containsText" text="CEST UP">
      <formula>NOT(ISERROR(SEARCH(("CEST UP"),(D1))))</formula>
    </cfRule>
    <cfRule type="containsText" dxfId="11" priority="7" operator="containsText" text="CO">
      <formula>NOT(ISERROR(SEARCH(("CO"),(D1))))</formula>
    </cfRule>
    <cfRule type="containsText" dxfId="10" priority="8" operator="containsText" text="GIA">
      <formula>NOT(ISERROR(SEARCH(("GIA"),(D1))))</formula>
    </cfRule>
    <cfRule type="containsText" dxfId="9" priority="9" operator="containsText" text="SCIENCE CENTRUM">
      <formula>NOT(ISERROR(SEARCH(("SCIENCE CENTRUM"),(D1))))</formula>
    </cfRule>
    <cfRule type="containsText" dxfId="8" priority="10" operator="containsText" text="SETUP Non Refund">
      <formula>NOT(ISERROR(SEARCH(("SETUP Non Refund"),(D1))))</formula>
    </cfRule>
    <cfRule type="containsText" dxfId="7" priority="11" operator="containsText" text="SETUP PMB">
      <formula>NOT(ISERROR(SEARCH(("SETUP PMB"),(D1))))</formula>
    </cfRule>
    <cfRule type="containsText" dxfId="6" priority="12" operator="containsText" text="SETUP iFUND">
      <formula>NOT(ISERROR(SEARCH(("SETUP iFUND"),(D1))))</formula>
    </cfRule>
    <cfRule type="containsText" dxfId="5" priority="13" operator="containsText" text="SETUP 2.0 (GAA)">
      <formula>NOT(ISERROR(SEARCH(("SETUP 2.0 (GAA)"),(D1))))</formula>
    </cfRule>
    <cfRule type="containsText" dxfId="4" priority="14" operator="containsText" text="SETUP 2.0 P-3">
      <formula>NOT(ISERROR(SEARCH(("SETUP 2.0 P-3"),(D1))))</formula>
    </cfRule>
    <cfRule type="containsText" dxfId="3" priority="15" operator="containsText" text="SETUP 2.0 P-2">
      <formula>NOT(ISERROR(SEARCH(("SETUP 2.0 P-2"),(D1))))</formula>
    </cfRule>
    <cfRule type="containsText" dxfId="2" priority="16" operator="containsText" text="SETUP 2.0 P-1">
      <formula>NOT(ISERROR(SEARCH(("SETUP 2.0 P-1"),(D1))))</formula>
    </cfRule>
    <cfRule type="containsText" dxfId="1" priority="17" operator="containsText" text="ONELAB">
      <formula>NOT(ISERROR(SEARCH(("ONELAB"),(D1))))</formula>
    </cfRule>
    <cfRule type="containsText" dxfId="0" priority="18" operator="containsText" text="RML">
      <formula>NOT(ISERROR(SEARCH(("RML"),(D1))))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MDS 101</vt:lpstr>
      <vt:lpstr>PS</vt:lpstr>
      <vt:lpstr>MOOE</vt:lpstr>
      <vt:lpstr>GIA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Charmie Rafols</dc:creator>
  <cp:lastModifiedBy>Charmie Rafols</cp:lastModifiedBy>
  <dcterms:created xsi:type="dcterms:W3CDTF">2026-07-15T07:59:23Z</dcterms:created>
  <dcterms:modified xsi:type="dcterms:W3CDTF">2026-07-21T01:34:57Z</dcterms:modified>
</cp:coreProperties>
</file>